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esktop\Sales Dashboard\"/>
    </mc:Choice>
  </mc:AlternateContent>
  <bookViews>
    <workbookView xWindow="0" yWindow="0" windowWidth="23040" windowHeight="8556" firstSheet="3" activeTab="4"/>
  </bookViews>
  <sheets>
    <sheet name="Pivot_region" sheetId="3" r:id="rId1"/>
    <sheet name="Pivot_product" sheetId="4" r:id="rId2"/>
    <sheet name="Pivot_SalesRep" sheetId="5" r:id="rId3"/>
    <sheet name="Sheet1" sheetId="8" r:id="rId4"/>
    <sheet name="Sheet5" sheetId="12" r:id="rId5"/>
    <sheet name="Sheet3" sheetId="10" r:id="rId6"/>
    <sheet name="Pivot_monthly" sheetId="9" r:id="rId7"/>
    <sheet name="SalesData" sheetId="1" r:id="rId8"/>
    <sheet name="Analysis" sheetId="2" r:id="rId9"/>
  </sheets>
  <definedNames>
    <definedName name="Slicer_Product">#N/A</definedName>
    <definedName name="Slicer_Region">#N/A</definedName>
    <definedName name="Slicer_Sales_rep">#N/A</definedName>
  </definedNames>
  <calcPr calcId="162913"/>
  <pivotCaches>
    <pivotCache cacheId="2"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2" l="1"/>
  <c r="M10" i="12"/>
  <c r="I49" i="12"/>
  <c r="A3" i="12"/>
  <c r="B51" i="12"/>
  <c r="Q5" i="12"/>
  <c r="O21" i="12"/>
  <c r="T14" i="2" l="1"/>
  <c r="T13" i="2"/>
  <c r="T12" i="2"/>
  <c r="T11" i="2"/>
  <c r="T10" i="2"/>
  <c r="T9" i="2"/>
  <c r="T8" i="2"/>
  <c r="T7" i="2"/>
  <c r="J6" i="2"/>
  <c r="J5" i="2"/>
  <c r="B5" i="2"/>
  <c r="O4" i="2"/>
  <c r="J4" i="2"/>
  <c r="B4" i="2"/>
  <c r="O3" i="2"/>
  <c r="J3" i="2"/>
  <c r="B3" i="2"/>
  <c r="T2" i="2"/>
  <c r="O2" i="2"/>
  <c r="J2" i="2"/>
  <c r="B2" i="2"/>
  <c r="H21" i="1"/>
  <c r="H20" i="1"/>
  <c r="H19" i="1"/>
  <c r="H18" i="1"/>
  <c r="H17" i="1"/>
  <c r="H16" i="1"/>
  <c r="H15" i="1"/>
  <c r="H14" i="1"/>
  <c r="H13" i="1"/>
  <c r="H12" i="1"/>
  <c r="H11" i="1"/>
  <c r="H10" i="1"/>
  <c r="H9" i="1"/>
  <c r="H8" i="1"/>
  <c r="H7" i="1"/>
  <c r="H6" i="1"/>
  <c r="H5" i="1"/>
  <c r="H4" i="1"/>
  <c r="H3" i="1"/>
  <c r="H2" i="1"/>
  <c r="C3" i="8"/>
  <c r="B3" i="8"/>
  <c r="A3" i="8"/>
</calcChain>
</file>

<file path=xl/sharedStrings.xml><?xml version="1.0" encoding="utf-8"?>
<sst xmlns="http://schemas.openxmlformats.org/spreadsheetml/2006/main" count="168" uniqueCount="51">
  <si>
    <t>South</t>
  </si>
  <si>
    <t>Laptop</t>
  </si>
  <si>
    <t>Rahul</t>
  </si>
  <si>
    <t>North</t>
  </si>
  <si>
    <t>Mobile</t>
  </si>
  <si>
    <t>Anjali</t>
  </si>
  <si>
    <t>East</t>
  </si>
  <si>
    <t>Tablet</t>
  </si>
  <si>
    <t>Arjun</t>
  </si>
  <si>
    <t>West</t>
  </si>
  <si>
    <t>Sneha</t>
  </si>
  <si>
    <t>Ravi</t>
  </si>
  <si>
    <t>Priya</t>
  </si>
  <si>
    <t>Headphones</t>
  </si>
  <si>
    <t>Kiran</t>
  </si>
  <si>
    <t>Smartwatch</t>
  </si>
  <si>
    <t>Amit</t>
  </si>
  <si>
    <t>Order_ID</t>
  </si>
  <si>
    <t>Date</t>
  </si>
  <si>
    <t>Region</t>
  </si>
  <si>
    <t>Product</t>
  </si>
  <si>
    <t>Unit_Price</t>
  </si>
  <si>
    <t>Revenue</t>
  </si>
  <si>
    <t>Sales_rep</t>
  </si>
  <si>
    <t>Units_sold</t>
  </si>
  <si>
    <t>Units Sold</t>
  </si>
  <si>
    <t>Orders</t>
  </si>
  <si>
    <t>Sales Rep</t>
  </si>
  <si>
    <t>Row Labels</t>
  </si>
  <si>
    <t>Grand Total</t>
  </si>
  <si>
    <t>Sum of Revenue</t>
  </si>
  <si>
    <t>TOTAL ORDERS</t>
  </si>
  <si>
    <t>TOTAL UNITS SOLD</t>
  </si>
  <si>
    <t>TOP PRODUCT</t>
  </si>
  <si>
    <t>TOTAL REVENUE</t>
  </si>
  <si>
    <t>Jan</t>
  </si>
  <si>
    <t>Feb</t>
  </si>
  <si>
    <t>Mar</t>
  </si>
  <si>
    <t>Apr</t>
  </si>
  <si>
    <t>May</t>
  </si>
  <si>
    <t>Jun</t>
  </si>
  <si>
    <t>Jul</t>
  </si>
  <si>
    <t>Aug</t>
  </si>
  <si>
    <t>Sep</t>
  </si>
  <si>
    <t>Oct</t>
  </si>
  <si>
    <t>SALES ANALYTICS DASHBOARD</t>
  </si>
  <si>
    <r>
      <rPr>
        <sz val="16"/>
        <color theme="7" tint="-0.499984740745262"/>
        <rFont val="Calibri"/>
        <family val="2"/>
        <scheme val="minor"/>
      </rPr>
      <t xml:space="preserve">📦 </t>
    </r>
    <r>
      <rPr>
        <sz val="12"/>
        <color theme="1"/>
        <rFont val="Calibri"/>
        <family val="2"/>
        <scheme val="minor"/>
      </rPr>
      <t xml:space="preserve">     TOTAL ORDERS</t>
    </r>
  </si>
  <si>
    <r>
      <rPr>
        <sz val="16"/>
        <color theme="4" tint="-0.499984740745262"/>
        <rFont val="Calibri"/>
        <family val="2"/>
        <scheme val="minor"/>
      </rPr>
      <t>📊</t>
    </r>
    <r>
      <rPr>
        <sz val="16"/>
        <color theme="1"/>
        <rFont val="Calibri"/>
        <family val="2"/>
        <scheme val="minor"/>
      </rPr>
      <t xml:space="preserve">    </t>
    </r>
    <r>
      <rPr>
        <sz val="12"/>
        <color theme="1"/>
        <rFont val="Calibri"/>
        <family val="2"/>
        <scheme val="minor"/>
      </rPr>
      <t xml:space="preserve">   TOTAL UNITS SOLD</t>
    </r>
  </si>
  <si>
    <r>
      <rPr>
        <sz val="16"/>
        <color theme="7" tint="0.39997558519241921"/>
        <rFont val="Calibri"/>
        <family val="2"/>
        <scheme val="minor"/>
      </rPr>
      <t>⭐</t>
    </r>
    <r>
      <rPr>
        <sz val="12"/>
        <color theme="1"/>
        <rFont val="Calibri"/>
        <family val="2"/>
        <scheme val="minor"/>
      </rPr>
      <t xml:space="preserve">    TOP PRODUCT</t>
    </r>
  </si>
  <si>
    <r>
      <rPr>
        <sz val="16"/>
        <color theme="7" tint="-0.249977111117893"/>
        <rFont val="Calibri"/>
        <family val="2"/>
        <scheme val="minor"/>
      </rPr>
      <t>💰</t>
    </r>
    <r>
      <rPr>
        <sz val="12"/>
        <color theme="1"/>
        <rFont val="Calibri"/>
        <family val="2"/>
        <scheme val="minor"/>
      </rPr>
      <t xml:space="preserve">       </t>
    </r>
    <r>
      <rPr>
        <sz val="12"/>
        <color theme="1" tint="4.9989318521683403E-2"/>
        <rFont val="Calibri"/>
        <family val="2"/>
        <scheme val="minor"/>
      </rPr>
      <t>TOTAL REVENUE</t>
    </r>
  </si>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</sst>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4009]\ #,##0"/>
  </numFmts>
  <fonts count="20" x14ac:knownFonts="1">
    <font>
      <sz val="11"/>
      <color theme="1"/>
      <name val="Calibri"/>
      <family val="2"/>
      <scheme val="minor"/>
    </font>
    <font>
      <b/>
      <sz val="11"/>
      <color theme="1"/>
      <name val="Calibri"/>
      <family val="2"/>
      <scheme val="minor"/>
    </font>
    <font>
      <sz val="14"/>
      <color theme="1"/>
      <name val="Calibri"/>
      <family val="2"/>
      <scheme val="minor"/>
    </font>
    <font>
      <b/>
      <sz val="36"/>
      <color theme="1"/>
      <name val="Calibri"/>
      <family val="2"/>
      <scheme val="minor"/>
    </font>
    <font>
      <b/>
      <sz val="24"/>
      <color theme="0"/>
      <name val="Calibri"/>
      <family val="2"/>
      <scheme val="minor"/>
    </font>
    <font>
      <sz val="12"/>
      <color theme="1"/>
      <name val="Calibri"/>
      <family val="2"/>
      <scheme val="minor"/>
    </font>
    <font>
      <sz val="16"/>
      <color theme="1"/>
      <name val="Calibri"/>
      <family val="2"/>
      <scheme val="minor"/>
    </font>
    <font>
      <sz val="26"/>
      <color theme="1"/>
      <name val="Calibri"/>
      <family val="2"/>
      <scheme val="minor"/>
    </font>
    <font>
      <b/>
      <sz val="26"/>
      <color theme="0"/>
      <name val="Segoe UI"/>
      <family val="2"/>
    </font>
    <font>
      <b/>
      <sz val="20"/>
      <color theme="1"/>
      <name val="Calibri"/>
      <family val="2"/>
      <scheme val="minor"/>
    </font>
    <font>
      <b/>
      <sz val="38"/>
      <color theme="1"/>
      <name val="Calibri"/>
      <family val="2"/>
      <scheme val="minor"/>
    </font>
    <font>
      <sz val="38"/>
      <color theme="1"/>
      <name val="Calibri"/>
      <family val="2"/>
      <scheme val="minor"/>
    </font>
    <font>
      <sz val="12"/>
      <color theme="1" tint="4.9989318521683403E-2"/>
      <name val="Calibri"/>
      <family val="2"/>
      <scheme val="minor"/>
    </font>
    <font>
      <sz val="16"/>
      <color theme="7" tint="0.39997558519241921"/>
      <name val="Calibri"/>
      <family val="2"/>
      <scheme val="minor"/>
    </font>
    <font>
      <sz val="16"/>
      <color theme="7" tint="-0.249977111117893"/>
      <name val="Calibri"/>
      <family val="2"/>
      <scheme val="minor"/>
    </font>
    <font>
      <sz val="16"/>
      <color theme="7" tint="-0.499984740745262"/>
      <name val="Calibri"/>
      <family val="2"/>
      <scheme val="minor"/>
    </font>
    <font>
      <sz val="16"/>
      <color theme="4" tint="-0.499984740745262"/>
      <name val="Calibri"/>
      <family val="2"/>
      <scheme val="minor"/>
    </font>
    <font>
      <sz val="32"/>
      <color theme="1"/>
      <name val="Calibri"/>
      <family val="2"/>
      <scheme val="minor"/>
    </font>
    <font>
      <sz val="11"/>
      <color theme="1"/>
      <name val="Calibri"/>
      <family val="2"/>
      <scheme val="minor"/>
    </font>
    <font>
      <b/>
      <sz val="20"/>
      <color theme="0" tint="-0.499984740745262"/>
      <name val="Calibri"/>
      <family val="2"/>
      <scheme val="minor"/>
    </font>
  </fonts>
  <fills count="8">
    <fill>
      <patternFill patternType="none"/>
    </fill>
    <fill>
      <patternFill patternType="gray125"/>
    </fill>
    <fill>
      <patternFill patternType="solid">
        <fgColor rgb="FF0070C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3">
    <xf numFmtId="0" fontId="0" fillId="0" borderId="0"/>
    <xf numFmtId="44" fontId="18" fillId="0" borderId="0" applyFont="0" applyFill="0" applyBorder="0" applyAlignment="0" applyProtection="0"/>
    <xf numFmtId="9" fontId="18" fillId="0" borderId="0" applyFont="0" applyFill="0" applyBorder="0" applyAlignment="0" applyProtection="0"/>
  </cellStyleXfs>
  <cellXfs count="26">
    <xf numFmtId="0" fontId="0" fillId="0" borderId="0" xfId="0"/>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3" borderId="0" xfId="0" applyFont="1" applyFill="1" applyAlignment="1">
      <alignment horizontal="center" vertical="center"/>
    </xf>
    <xf numFmtId="0" fontId="4" fillId="2" borderId="0" xfId="0" applyFont="1" applyFill="1" applyAlignment="1">
      <alignment vertical="center"/>
    </xf>
    <xf numFmtId="164" fontId="3" fillId="4" borderId="0" xfId="0" applyNumberFormat="1" applyFont="1" applyFill="1" applyAlignment="1">
      <alignment horizontal="center" vertical="center"/>
    </xf>
    <xf numFmtId="0" fontId="3" fillId="4" borderId="0" xfId="0" applyFont="1" applyFill="1" applyAlignment="1">
      <alignment horizontal="center" vertical="center"/>
    </xf>
    <xf numFmtId="0" fontId="0" fillId="4" borderId="0" xfId="0" applyFill="1" applyAlignment="1">
      <alignment vertical="center"/>
    </xf>
    <xf numFmtId="0" fontId="7" fillId="0" borderId="0" xfId="0" applyFont="1"/>
    <xf numFmtId="0" fontId="5" fillId="6" borderId="0" xfId="0" applyFont="1" applyFill="1" applyBorder="1" applyAlignment="1">
      <alignment horizontal="center" vertical="center"/>
    </xf>
    <xf numFmtId="0" fontId="5" fillId="6" borderId="0" xfId="0" applyFont="1" applyFill="1"/>
    <xf numFmtId="164" fontId="10"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6" borderId="1" xfId="0" applyFont="1" applyFill="1" applyBorder="1"/>
    <xf numFmtId="0" fontId="17" fillId="6" borderId="1" xfId="0" applyFont="1" applyFill="1" applyBorder="1" applyAlignment="1">
      <alignment horizontal="center" vertical="center"/>
    </xf>
    <xf numFmtId="0" fontId="4" fillId="2" borderId="0" xfId="0" applyFont="1" applyFill="1" applyAlignment="1">
      <alignment horizontal="center" vertical="center"/>
    </xf>
    <xf numFmtId="0" fontId="8" fillId="5" borderId="0" xfId="0" applyFont="1" applyFill="1" applyBorder="1" applyAlignment="1">
      <alignment horizontal="center" vertical="center"/>
    </xf>
    <xf numFmtId="0" fontId="9" fillId="7" borderId="0" xfId="0" applyFont="1" applyFill="1" applyAlignment="1">
      <alignment horizontal="center"/>
    </xf>
    <xf numFmtId="44" fontId="10" fillId="6" borderId="1" xfId="1" applyFont="1" applyFill="1" applyBorder="1" applyAlignment="1">
      <alignment horizontal="center" vertical="center"/>
    </xf>
    <xf numFmtId="0" fontId="19" fillId="6" borderId="0" xfId="0" applyFont="1" applyFill="1" applyAlignment="1">
      <alignment horizontal="left"/>
    </xf>
    <xf numFmtId="9" fontId="0" fillId="0" borderId="0" xfId="2" applyNumberFormat="1" applyFont="1"/>
  </cellXfs>
  <cellStyles count="3">
    <cellStyle name="Currency" xfId="1" builtinId="4"/>
    <cellStyle name="Normal" xfId="0" builtinId="0"/>
    <cellStyle name="Percent" xfId="2" builtinId="5"/>
  </cellStyles>
  <dxfs count="15">
    <dxf>
      <font>
        <b/>
        <i val="0"/>
        <color theme="0" tint="-0.34998626667073579"/>
      </font>
      <fill>
        <patternFill>
          <bgColor theme="4" tint="0.59996337778862885"/>
        </patternFill>
      </fill>
      <border>
        <bottom style="thin">
          <color rgb="FF4F81BD"/>
        </bottom>
        <vertical/>
        <horizontal/>
      </border>
    </dxf>
    <dxf>
      <font>
        <color theme="1"/>
      </font>
      <fill>
        <patternFill>
          <bgColor theme="0" tint="-4.9989318521683403E-2"/>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border diagonalUp="0" diagonalDown="0">
        <left/>
        <right/>
        <top/>
        <bottom/>
        <vertical/>
        <horizontal/>
      </border>
    </dxf>
    <dxf>
      <font>
        <b/>
        <i val="0"/>
        <color rgb="FF00B050"/>
      </font>
    </dxf>
    <dxf>
      <font>
        <b/>
        <i val="0"/>
        <color rgb="FF00B050"/>
      </font>
    </dxf>
    <dxf>
      <border diagonalUp="0" diagonalDown="0">
        <left/>
        <right/>
        <top/>
        <bottom/>
        <vertical/>
        <horizontal style="thin">
          <color auto="1"/>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numFmt numFmtId="0" formatCode="General"/>
    </dxf>
    <dxf>
      <numFmt numFmtId="19" formatCode="m/d/yyyy"/>
    </dxf>
    <dxf>
      <numFmt numFmtId="19" formatCode="m/d/yyyy"/>
    </dxf>
  </dxfs>
  <tableStyles count="9" defaultTableStyle="TableStyleMedium2" defaultPivotStyle="PivotStyleLight16">
    <tableStyle name="No boarder" pivot="0" table="0" count="0"/>
    <tableStyle name="Slicer Style 1" pivot="0" table="0" count="0"/>
    <tableStyle name="Slicer Style 2" pivot="0" table="0" count="3">
      <tableStyleElement type="wholeTable" dxfId="11"/>
      <tableStyleElement type="headerRow" dxfId="10"/>
    </tableStyle>
    <tableStyle name="Slicer Style 3" pivot="0" table="0" count="1">
      <tableStyleElement type="wholeTable" dxfId="9"/>
    </tableStyle>
    <tableStyle name="Slicer Style 4" pivot="0" table="0" count="2"/>
    <tableStyle name="Slicer Style 5" pivot="0" table="0" count="6">
      <tableStyleElement type="wholeTable" dxfId="8"/>
      <tableStyleElement type="headerRow" dxfId="7"/>
    </tableStyle>
    <tableStyle name="Slicer Style 6" pivot="0" table="0" count="1">
      <tableStyleElement type="wholeTable" dxfId="4"/>
    </tableStyle>
    <tableStyle name="SlicerStyleOther2 2" pivot="0" table="0" count="10">
      <tableStyleElement type="wholeTable" dxfId="3"/>
      <tableStyleElement type="headerRow" dxfId="2"/>
    </tableStyle>
    <tableStyle name="SlicerStyleOther2 3" pivot="0" table="0" count="10">
      <tableStyleElement type="wholeTable" dxfId="1"/>
      <tableStyleElement type="headerRow" dxfId="0"/>
    </tableStyle>
  </tableStyles>
  <colors>
    <mruColors>
      <color rgb="FFFFCCFF"/>
    </mruColors>
  </colors>
  <extLst>
    <ext xmlns:x14="http://schemas.microsoft.com/office/spreadsheetml/2009/9/main" uri="{46F421CA-312F-682f-3DD2-61675219B42D}">
      <x14:dxfs count="22">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rgb="FF0070C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0070C0"/>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0070C0"/>
            </patternFill>
          </fill>
          <border diagonalUp="0" diagonalDown="0">
            <left/>
            <right/>
            <top/>
            <bottom/>
            <vertical/>
            <horizontal/>
          </border>
        </dxf>
        <dxf>
          <font>
            <color theme="0" tint="-0.34998626667073579"/>
          </font>
          <fill>
            <patternFill patternType="solid">
              <fgColor auto="1"/>
              <bgColor theme="0" tint="-4.9989318521683403E-2"/>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theme="0" tint="-0.14996795556505021"/>
            </patternFill>
          </fill>
          <border diagonalUp="0" diagonalDown="0">
            <left/>
            <right/>
            <top/>
            <bottom/>
            <vertical/>
            <horizontal/>
          </border>
        </dxf>
        <dxf>
          <font>
            <color theme="1"/>
          </font>
          <fill>
            <gradientFill degree="90">
              <stop position="0">
                <color rgb="FFF8E162"/>
              </stop>
              <stop position="1">
                <color rgb="FFFCF7F4"/>
              </stop>
            </gradient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diagonalUp="0" diagonalDown="0">
            <left/>
            <right/>
            <top/>
            <bottom/>
            <vertical/>
            <horizontal/>
          </border>
        </dxf>
        <dxf>
          <font>
            <color theme="1"/>
          </font>
          <fill>
            <gradientFill degree="90">
              <stop position="0">
                <color rgb="FFF8E162"/>
              </stop>
              <stop position="1">
                <color rgb="FFFCF7F4"/>
              </stop>
            </gradientFill>
          </fill>
          <border diagonalUp="0" diagonalDown="0">
            <left/>
            <right/>
            <top/>
            <bottom/>
            <vertical/>
            <horizontal/>
          </border>
        </dxf>
        <dxf>
          <font>
            <color rgb="FF828282"/>
          </font>
          <fill>
            <gradientFill degree="90">
              <stop position="0">
                <color rgb="FFD1E0F5"/>
              </stop>
              <stop position="1">
                <color rgb="FFE9F2FB"/>
              </stop>
            </gradientFill>
          </fill>
          <border diagonalUp="0" diagonalDown="0">
            <left/>
            <right/>
            <top/>
            <bottom/>
            <vertical/>
            <horizontal/>
          </border>
        </dxf>
        <dxf>
          <font>
            <color rgb="FF000000"/>
          </font>
          <fill>
            <gradientFill degree="90">
              <stop position="0">
                <color rgb="FFA3BBDF"/>
              </stop>
              <stop position="1">
                <color rgb="FFCADEF6"/>
              </stop>
            </gradientFill>
          </fill>
          <border diagonalUp="0" diagonalDown="0">
            <left/>
            <right/>
            <top/>
            <bottom/>
            <vertical/>
            <horizontal/>
          </border>
        </dxf>
        <dxf>
          <font>
            <color rgb="FF828282"/>
          </font>
          <fill>
            <gradientFill degree="90">
              <stop position="0">
                <color rgb="FFF2F4F6"/>
              </stop>
              <stop position="1">
                <color rgb="FFFEFEFE"/>
              </stop>
            </gradientFill>
          </fill>
          <border diagonalUp="0" diagonalDown="0">
            <left/>
            <right/>
            <top/>
            <bottom/>
            <vertical/>
            <horizontal/>
          </border>
        </dxf>
        <dxf>
          <font>
            <color rgb="FF000000"/>
          </font>
          <fill>
            <gradientFill degree="90">
              <stop position="0">
                <color rgb="FFE8EBEE"/>
              </stop>
              <stop position="1">
                <color rgb="FFF8F8FA"/>
              </stop>
            </gradient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style="thin">
              <color auto="1"/>
            </horizontal>
          </border>
        </dxf>
        <dxf>
          <fill>
            <patternFill>
              <bgColor theme="4" tint="0.59996337778862885"/>
            </patternFill>
          </fill>
        </dxf>
        <dxf>
          <fill>
            <patternFill>
              <bgColor rgb="FF0070C0"/>
            </patternFill>
          </fill>
        </dxf>
      </x14:dxfs>
    </ext>
    <ext xmlns:x14="http://schemas.microsoft.com/office/spreadsheetml/2009/9/main" uri="{EB79DEF2-80B8-43e5-95BD-54CBDDF9020C}">
      <x14:slicerStyles defaultSlicerStyle="Slicer Style 3">
        <x14:slicerStyle name="No boarder"/>
        <x14:slicerStyle name="Slicer Style 1"/>
        <x14:slicerStyle name="Slicer Style 2">
          <x14:slicerStyleElements/>
        </x14:slicerStyle>
        <x14:slicerStyle name="Slicer Style 3"/>
        <x14:slicerStyle name="Slicer Style 4">
          <x14:slicerStyleElements>
            <x14:slicerStyleElement type="unselectedItemWithData" dxfId="20"/>
            <x14:slicerStyleElement type="selectedItemWithData" dxfId="21"/>
          </x14:slicerStyleElements>
        </x14:slicerStyle>
        <x14:slicerStyle name="Slicer Style 5">
          <x14:slicerStyleElements>
            <x14:slicerStyleElement type="unselectedItemWithData" dxfId="17"/>
            <x14:slicerStyleElement type="unselectedItemWithNoData" dxfId="16"/>
            <x14:slicerStyleElement type="selectedItemWithData" dxfId="19"/>
            <x14:slicerStyleElement type="selectedItemWithNoData" dxfId="18"/>
          </x14:slicerStyleElements>
        </x14:slicerStyle>
        <x14:slicerStyle name="Slicer Style 6"/>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[dashboard.xlsl.xlsx]Pivot_monthly!PivotTable1</c:name>
    <c:fmtId val="5"/>
  </c:pivotSource>
  <c:chart>
    <c:autoTitleDeleted val="1"/>
    <c:pivotFmts>
      <c:pivotFmt>
        <c:idx val="0"/>
      </c:pivotFmt>
      <c:pivotFmt>
        <c:idx val="1"/>
      </c:pivotFmt>
      <c:pivotFmt>
        <c:idx val="2"/>
      </c:pivotFmt>
      <c:pivotFmt>
        <c:idx val="3"/>
      </c:pivotFmt>
      <c:pivotFmt>
        <c:idx val="4"/>
      </c:pivotFmt>
      <c:pivotFmt>
        <c:idx val="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dLbl>
          <c:idx val="0"/>
          <c:layout/>
          <c:dLblPos val="t"/>
          <c:showLegendKey val="0"/>
          <c:showVal val="1"/>
          <c:showCatName val="0"/>
          <c:showSerName val="0"/>
          <c:showPercent val="0"/>
          <c:showBubbleSize val="0"/>
          <c:extLst>
            <c:ext xmlns:c15="http://schemas.microsoft.com/office/drawing/2012/chart" uri="{CE6537A1-D6FC-4f65-9D91-7224C49458BB}">
              <c15:layout>
                <c:manualLayout>
                  <c:w val="2.5206874238597375E-2"/>
                  <c:h val="3.3772516914811479E-2"/>
                </c:manualLayout>
              </c15:layout>
            </c:ext>
          </c:extLst>
        </c:dLbl>
      </c:pivotFmt>
      <c:pivotFmt>
        <c:idx val="7"/>
        <c:dLbl>
          <c:idx val="0"/>
          <c:layout/>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dLbl>
          <c:idx val="0"/>
          <c:layout/>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Pivot_monthly!$A$4:$A$14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Pivot_monthly!$B$4:$B$14</c:f>
              <c:numCache>
                <c:formatCode>General</c:formatCode>
                <c:ptCount val="10"/>
                <c:pt idx="0">
                  <c:v>220000</c:v>
                </c:pt>
                <c:pt idx="1">
                  <c:v>150000</c:v>
                </c:pt>
                <c:pt idx="2">
                  <c:v>140000</c:v>
                </c:pt>
                <c:pt idx="3">
                  <c:v>60000</c:v>
                </c:pt>
                <c:pt idx="4">
                  <c:v>200000</c:v>
                </c:pt>
                <c:pt idx="5">
                  <c:v>85000</c:v>
                </c:pt>
                <c:pt idx="6">
                  <c:v>160000</c:v>
                </c:pt>
                <c:pt idx="7">
                  <c:v>90000</c:v>
                </c:pt>
                <c:pt idx="8">
                  <c:v>60000</c:v>
                </c:pt>
                <c:pt idx="9">
                  <c:v>180000</c:v>
                </c:pt>
              </c:numCache>
            </c:numRef>
          </c:val>
          <c:smooth val="0"/>
          <c:extLst>
            <c:ext xmlns:c16="http://schemas.microsoft.com/office/drawing/2014/chart" uri="{C3380CC4-5D6E-409C-BE32-E72D297353CC}">
              <c16:uniqueId val="{00000000-E541-47B6-A441-55D93811AA3C}"/>
            </c:ext>
          </c:extLst>
        </c:ser>
        <c:dLbls>
          <c:dLblPos val="t"/>
          <c:showLegendKey val="0"/>
          <c:showVal val="1"/>
          <c:showCatName val="0"/>
          <c:showSerName val="0"/>
          <c:showPercent val="0"/>
          <c:showBubbleSize val="0"/>
        </c:dLbls>
        <c:marker val="1"/>
        <c:smooth val="0"/>
        <c:axId val="1296249887"/>
        <c:axId val="1296251135"/>
      </c:lineChart>
      <c:catAx>
        <c:axId val="129624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51135"/>
        <c:crosses val="autoZero"/>
        <c:auto val="1"/>
        <c:lblAlgn val="ctr"/>
        <c:lblOffset val="100"/>
        <c:noMultiLvlLbl val="0"/>
      </c:catAx>
      <c:valAx>
        <c:axId val="1296251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498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5400000" algn="t" rotWithShape="0">
        <a:prstClr val="black">
          <a:alpha val="3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[dashboard.xlsl.xlsx]Pivot_region!PivotTable1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a:p>
            <a:pPr>
              <a:defRPr/>
            </a:pPr>
            <a:endParaRPr lang="en-US"/>
          </a:p>
        </c:rich>
      </c:tx>
      <c:layout>
        <c:manualLayout>
          <c:xMode val="edge"/>
          <c:yMode val="edge"/>
          <c:x val="0.38435987509133901"/>
          <c:y val="5.18235462493855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70C0"/>
          </a:solidFill>
          <a:ln>
            <a:noFill/>
          </a:ln>
          <a:effectLst/>
        </c:spPr>
      </c:pivotFmt>
      <c:pivotFmt>
        <c:idx val="6"/>
        <c:spPr>
          <a:solidFill>
            <a:srgbClr val="0070C0"/>
          </a:solidFill>
          <a:ln>
            <a:noFill/>
          </a:ln>
          <a:effectLst/>
        </c:spPr>
      </c:pivotFmt>
      <c:pivotFmt>
        <c:idx val="7"/>
        <c:spPr>
          <a:solidFill>
            <a:schemeClr val="accent1">
              <a:lumMod val="20000"/>
              <a:lumOff val="80000"/>
            </a:schemeClr>
          </a:solidFill>
          <a:ln>
            <a:noFill/>
          </a:ln>
          <a:effectLst/>
        </c:spPr>
        <c:marker>
          <c:symbol val="none"/>
        </c:marker>
      </c:pivotFmt>
    </c:pivotFmts>
    <c:plotArea>
      <c:layout/>
      <c:barChart>
        <c:barDir val="col"/>
        <c:grouping val="clustered"/>
        <c:varyColors val="0"/>
        <c:ser>
          <c:idx val="0"/>
          <c:order val="0"/>
          <c:tx>
            <c:strRef>
              <c:f>Pivot_region!$B$3</c:f>
              <c:strCache>
                <c:ptCount val="1"/>
                <c:pt idx="0">
                  <c:v>Total</c:v>
                </c:pt>
              </c:strCache>
            </c:strRef>
          </c:tx>
          <c:spPr>
            <a:solidFill>
              <a:schemeClr val="accent1">
                <a:lumMod val="20000"/>
                <a:lumOff val="80000"/>
              </a:schemeClr>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4-86D8-42D0-816C-BFF2FBF68B60}"/>
              </c:ext>
            </c:extLst>
          </c:dPt>
          <c:dLbls>
            <c:delete val="1"/>
          </c:dLbls>
          <c:cat>
            <c:strRef>
              <c:f>Pivot_region!$A$4:$A$8</c:f>
              <c:strCache>
                <c:ptCount val="4"/>
                <c:pt idx="0">
                  <c:v>North</c:v>
                </c:pt>
                <c:pt idx="1">
                  <c:v>South</c:v>
                </c:pt>
                <c:pt idx="2">
                  <c:v>East</c:v>
                </c:pt>
                <c:pt idx="3">
                  <c:v>West</c:v>
                </c:pt>
              </c:strCache>
            </c:strRef>
          </c:cat>
          <c:val>
            <c:numRef>
              <c:f>Pivot_region!$B$4:$B$8</c:f>
              <c:numCache>
                <c:formatCode>General</c:formatCode>
                <c:ptCount val="4"/>
                <c:pt idx="0">
                  <c:v>440000</c:v>
                </c:pt>
                <c:pt idx="1">
                  <c:v>340000</c:v>
                </c:pt>
                <c:pt idx="2">
                  <c:v>300000</c:v>
                </c:pt>
                <c:pt idx="3">
                  <c:v>265000</c:v>
                </c:pt>
              </c:numCache>
            </c:numRef>
          </c:val>
          <c:extLst>
            <c:ext xmlns:c16="http://schemas.microsoft.com/office/drawing/2014/chart" uri="{C3380CC4-5D6E-409C-BE32-E72D297353CC}">
              <c16:uniqueId val="{00000000-D165-472D-924C-40F988781118}"/>
            </c:ext>
          </c:extLst>
        </c:ser>
        <c:dLbls>
          <c:dLblPos val="outEnd"/>
          <c:showLegendKey val="0"/>
          <c:showVal val="1"/>
          <c:showCatName val="0"/>
          <c:showSerName val="0"/>
          <c:showPercent val="0"/>
          <c:showBubbleSize val="0"/>
        </c:dLbls>
        <c:gapWidth val="50"/>
        <c:overlap val="-27"/>
        <c:axId val="1296247391"/>
        <c:axId val="1296247807"/>
      </c:barChart>
      <c:catAx>
        <c:axId val="12962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47807"/>
        <c:crosses val="autoZero"/>
        <c:auto val="1"/>
        <c:lblAlgn val="ctr"/>
        <c:lblOffset val="100"/>
        <c:noMultiLvlLbl val="0"/>
      </c:catAx>
      <c:valAx>
        <c:axId val="129624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47391"/>
        <c:crosses val="autoZero"/>
        <c:crossBetween val="between"/>
      </c:valAx>
      <c:spPr>
        <a:noFill/>
        <a:ln>
          <a:noFill/>
        </a:ln>
        <a:effectLst>
          <a:glow rad="127000">
            <a:schemeClr val="bg1"/>
          </a:glow>
        </a:effectLst>
      </c:spPr>
    </c:plotArea>
    <c:plotVisOnly val="1"/>
    <c:dispBlanksAs val="gap"/>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[dashboard.xlsl.xlsx]Pivot_product!PivotTable2</c:name>
    <c:fmtId val="17"/>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a:solidFill>
                  <a:schemeClr val="bg1">
                    <a:lumMod val="50000"/>
                  </a:schemeClr>
                </a:solidFill>
              </a:rPr>
              <a:t>Top Products by Revenue</a:t>
            </a:r>
          </a:p>
        </c:rich>
      </c:tx>
      <c:layout>
        <c:manualLayout>
          <c:xMode val="edge"/>
          <c:yMode val="edge"/>
          <c:x val="0.38789541882155359"/>
          <c:y val="3.5469641118088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20000"/>
              <a:lumOff val="8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70C0"/>
          </a:solidFill>
          <a:ln>
            <a:noFill/>
          </a:ln>
          <a:effectLst/>
        </c:spPr>
      </c:pivotFmt>
    </c:pivotFmts>
    <c:plotArea>
      <c:layout/>
      <c:barChart>
        <c:barDir val="bar"/>
        <c:grouping val="clustered"/>
        <c:varyColors val="0"/>
        <c:ser>
          <c:idx val="0"/>
          <c:order val="0"/>
          <c:tx>
            <c:strRef>
              <c:f>Pivot_product!$B$3</c:f>
              <c:strCache>
                <c:ptCount val="1"/>
                <c:pt idx="0">
                  <c:v>Total</c:v>
                </c:pt>
              </c:strCache>
            </c:strRef>
          </c:tx>
          <c:spPr>
            <a:solidFill>
              <a:schemeClr val="accent1">
                <a:lumMod val="20000"/>
                <a:lumOff val="80000"/>
              </a:schemeClr>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0-69A8-4A92-8492-FE42D7A282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Pivot_product!$A$4:$A$9</c:f>
              <c:strCache>
                <c:ptCount val="5"/>
                <c:pt idx="0">
                  <c:v>Mobile</c:v>
                </c:pt>
                <c:pt idx="1">
                  <c:v>Laptop</c:v>
                </c:pt>
                <c:pt idx="2">
                  <c:v>Tablet</c:v>
                </c:pt>
                <c:pt idx="3">
                  <c:v>Headphones</c:v>
                </c:pt>
                <c:pt idx="4">
                  <c:v>Smartwatch</c:v>
                </c:pt>
              </c:strCache>
            </c:strRef>
          </c:cat>
          <c:val>
            <c:numRef>
              <c:f>Pivot_product!$B$4:$B$9</c:f>
              <c:numCache>
                <c:formatCode>General</c:formatCode>
                <c:ptCount val="5"/>
                <c:pt idx="0">
                  <c:v>500000</c:v>
                </c:pt>
                <c:pt idx="1">
                  <c:v>420000</c:v>
                </c:pt>
                <c:pt idx="2">
                  <c:v>240000</c:v>
                </c:pt>
                <c:pt idx="3">
                  <c:v>95000</c:v>
                </c:pt>
                <c:pt idx="4">
                  <c:v>90000</c:v>
                </c:pt>
              </c:numCache>
            </c:numRef>
          </c:val>
          <c:extLst>
            <c:ext xmlns:c16="http://schemas.microsoft.com/office/drawing/2014/chart" uri="{C3380CC4-5D6E-409C-BE32-E72D297353CC}">
              <c16:uniqueId val="{00000000-9EA0-4FE6-A0FA-CC7D007F221A}"/>
            </c:ext>
          </c:extLst>
        </c:ser>
        <c:dLbls>
          <c:dLblPos val="outEnd"/>
          <c:showLegendKey val="0"/>
          <c:showVal val="1"/>
          <c:showCatName val="0"/>
          <c:showSerName val="0"/>
          <c:showPercent val="0"/>
          <c:showBubbleSize val="0"/>
        </c:dLbls>
        <c:gapWidth val="40"/>
        <c:axId val="1335637055"/>
        <c:axId val="1340897711"/>
      </c:barChart>
      <c:catAx>
        <c:axId val="1335637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97711"/>
        <c:crosses val="autoZero"/>
        <c:auto val="1"/>
        <c:lblAlgn val="ctr"/>
        <c:lblOffset val="100"/>
        <c:noMultiLvlLbl val="0"/>
      </c:catAx>
      <c:valAx>
        <c:axId val="134089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370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5400000" algn="t"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[dashboard.xlsl.xlsx]Pivot_SalesRep!PivotTable3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t>
            </a:r>
            <a:r>
              <a:rPr lang="en-US" baseline="0"/>
              <a:t> R</a:t>
            </a:r>
            <a:r>
              <a:rPr lang="en-US"/>
              <a:t>ep</a:t>
            </a:r>
            <a:r>
              <a:rPr lang="en-US" baseline="0"/>
              <a:t> </a:t>
            </a:r>
            <a:r>
              <a:rPr lang="en-US">
                <a:solidFill>
                  <a:schemeClr val="bg1">
                    <a:lumMod val="50000"/>
                  </a:schemeClr>
                </a:solidFill>
              </a:rPr>
              <a:t>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lumMod val="20000"/>
              <a:lumOff val="8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070C0"/>
          </a:solidFill>
          <a:ln>
            <a:noFill/>
          </a:ln>
          <a:effectLst/>
        </c:spPr>
      </c:pivotFmt>
    </c:pivotFmts>
    <c:plotArea>
      <c:layout/>
      <c:barChart>
        <c:barDir val="col"/>
        <c:grouping val="clustered"/>
        <c:varyColors val="0"/>
        <c:ser>
          <c:idx val="0"/>
          <c:order val="0"/>
          <c:tx>
            <c:strRef>
              <c:f>Pivot_SalesRep!$B$3</c:f>
              <c:strCache>
                <c:ptCount val="1"/>
                <c:pt idx="0">
                  <c:v>Total</c:v>
                </c:pt>
              </c:strCache>
            </c:strRef>
          </c:tx>
          <c:spPr>
            <a:solidFill>
              <a:schemeClr val="accent1">
                <a:lumMod val="20000"/>
                <a:lumOff val="80000"/>
              </a:schemeClr>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4-509E-4363-A2AB-6E316ECBBC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Pivot_SalesRep!$A$4:$A$12</c:f>
              <c:strCache>
                <c:ptCount val="8"/>
                <c:pt idx="0">
                  <c:v>Amit</c:v>
                </c:pt>
                <c:pt idx="1">
                  <c:v>Anjali</c:v>
                </c:pt>
                <c:pt idx="2">
                  <c:v>Arjun</c:v>
                </c:pt>
                <c:pt idx="3">
                  <c:v>Kiran</c:v>
                </c:pt>
                <c:pt idx="4">
                  <c:v>Priya</c:v>
                </c:pt>
                <c:pt idx="5">
                  <c:v>Rahul</c:v>
                </c:pt>
                <c:pt idx="6">
                  <c:v>Ravi</c:v>
                </c:pt>
                <c:pt idx="7">
                  <c:v>Sneha</c:v>
                </c:pt>
              </c:strCache>
            </c:strRef>
          </c:cat>
          <c:val>
            <c:numRef>
              <c:f>Pivot_SalesRep!$B$4:$B$12</c:f>
              <c:numCache>
                <c:formatCode>General</c:formatCode>
                <c:ptCount val="8"/>
                <c:pt idx="0">
                  <c:v>60000</c:v>
                </c:pt>
                <c:pt idx="1">
                  <c:v>260000</c:v>
                </c:pt>
                <c:pt idx="2">
                  <c:v>210000</c:v>
                </c:pt>
                <c:pt idx="3">
                  <c:v>90000</c:v>
                </c:pt>
                <c:pt idx="4">
                  <c:v>180000</c:v>
                </c:pt>
                <c:pt idx="5">
                  <c:v>220000</c:v>
                </c:pt>
                <c:pt idx="6">
                  <c:v>120000</c:v>
                </c:pt>
                <c:pt idx="7">
                  <c:v>205000</c:v>
                </c:pt>
              </c:numCache>
            </c:numRef>
          </c:val>
          <c:extLst>
            <c:ext xmlns:c16="http://schemas.microsoft.com/office/drawing/2014/chart" uri="{C3380CC4-5D6E-409C-BE32-E72D297353CC}">
              <c16:uniqueId val="{00000000-3CDA-47D2-8F2D-5A84D36ABEF9}"/>
            </c:ext>
          </c:extLst>
        </c:ser>
        <c:dLbls>
          <c:dLblPos val="outEnd"/>
          <c:showLegendKey val="0"/>
          <c:showVal val="1"/>
          <c:showCatName val="0"/>
          <c:showSerName val="0"/>
          <c:showPercent val="0"/>
          <c:showBubbleSize val="0"/>
        </c:dLbls>
        <c:gapWidth val="45"/>
        <c:overlap val="-27"/>
        <c:axId val="1340896463"/>
        <c:axId val="1515935663"/>
      </c:barChart>
      <c:catAx>
        <c:axId val="13408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35663"/>
        <c:crosses val="autoZero"/>
        <c:auto val="1"/>
        <c:lblAlgn val="ctr"/>
        <c:lblOffset val="100"/>
        <c:noMultiLvlLbl val="0"/>
      </c:catAx>
      <c:valAx>
        <c:axId val="151593566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96463"/>
        <c:crosses val="autoZero"/>
        <c:crossBetween val="between"/>
      </c:valAx>
      <c:spPr>
        <a:noFill/>
        <a:ln>
          <a:noFill/>
        </a:ln>
        <a:effectLst>
          <a:glow rad="127000">
            <a:schemeClr val="bg1"/>
          </a:glow>
        </a:effectLst>
      </c:spPr>
    </c:plotArea>
    <c:plotVisOnly val="1"/>
    <c:dispBlanksAs val="gap"/>
    <c:showDLblsOverMax val="0"/>
  </c:chart>
  <c:spPr>
    <a:solidFill>
      <a:schemeClr val="bg1"/>
    </a:solidFill>
    <a:ln w="9525" cap="flat" cmpd="sng" algn="ctr">
      <a:noFill/>
      <a:round/>
    </a:ln>
    <a:effectLst>
      <a:outerShdw blurRad="50800" dist="38100" dir="5400000" algn="t"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121228</xdr:rowOff>
    </xdr:from>
    <xdr:to>
      <xdr:col>8</xdr:col>
      <xdr:colOff>1125681</xdr:colOff>
      <xdr:row>17</xdr:row>
      <xdr:rowOff>86591</xdr:rowOff>
    </xdr:to>
    <xdr:sp macro="" textlink="">
      <xdr:nvSpPr>
        <xdr:cNvPr id="14" name="Rectangle 13"/>
        <xdr:cNvSpPr/>
      </xdr:nvSpPr>
      <xdr:spPr>
        <a:xfrm>
          <a:off x="0" y="1956955"/>
          <a:ext cx="16036636" cy="2718954"/>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33</xdr:row>
      <xdr:rowOff>0</xdr:rowOff>
    </xdr:from>
    <xdr:to>
      <xdr:col>8</xdr:col>
      <xdr:colOff>1143000</xdr:colOff>
      <xdr:row>44</xdr:row>
      <xdr:rowOff>173181</xdr:rowOff>
    </xdr:to>
    <xdr:sp macro="" textlink="">
      <xdr:nvSpPr>
        <xdr:cNvPr id="13" name="Rectangle 12"/>
        <xdr:cNvSpPr/>
      </xdr:nvSpPr>
      <xdr:spPr>
        <a:xfrm>
          <a:off x="0" y="7637318"/>
          <a:ext cx="16053955" cy="2268681"/>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1143000</xdr:colOff>
      <xdr:row>18</xdr:row>
      <xdr:rowOff>51955</xdr:rowOff>
    </xdr:from>
    <xdr:to>
      <xdr:col>8</xdr:col>
      <xdr:colOff>1125681</xdr:colOff>
      <xdr:row>32</xdr:row>
      <xdr:rowOff>0</xdr:rowOff>
    </xdr:to>
    <xdr:sp macro="" textlink="">
      <xdr:nvSpPr>
        <xdr:cNvPr id="12" name="Rectangle 11"/>
        <xdr:cNvSpPr/>
      </xdr:nvSpPr>
      <xdr:spPr>
        <a:xfrm>
          <a:off x="7637318" y="4831773"/>
          <a:ext cx="8399318" cy="2615045"/>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69274</xdr:colOff>
      <xdr:row>18</xdr:row>
      <xdr:rowOff>51955</xdr:rowOff>
    </xdr:from>
    <xdr:to>
      <xdr:col>3</xdr:col>
      <xdr:colOff>606138</xdr:colOff>
      <xdr:row>31</xdr:row>
      <xdr:rowOff>173182</xdr:rowOff>
    </xdr:to>
    <xdr:sp macro="" textlink="">
      <xdr:nvSpPr>
        <xdr:cNvPr id="10" name="Rectangle 9"/>
        <xdr:cNvSpPr/>
      </xdr:nvSpPr>
      <xdr:spPr>
        <a:xfrm>
          <a:off x="69274" y="4831773"/>
          <a:ext cx="7031182" cy="2597727"/>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190499</xdr:rowOff>
    </xdr:from>
    <xdr:to>
      <xdr:col>8</xdr:col>
      <xdr:colOff>1054274</xdr:colOff>
      <xdr:row>16</xdr:row>
      <xdr:rowOff>173181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137728</xdr:rowOff>
    </xdr:from>
    <xdr:to>
      <xdr:col>3</xdr:col>
      <xdr:colOff>542793</xdr:colOff>
      <xdr:row>31</xdr:row>
      <xdr:rowOff>89137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1221288</xdr:colOff>
      <xdr:row>18</xdr:row>
      <xdr:rowOff>137728</xdr:rowOff>
    </xdr:from>
    <xdr:to>
      <xdr:col>8</xdr:col>
      <xdr:colOff>1073727</xdr:colOff>
      <xdr:row>31</xdr:row>
      <xdr:rowOff>103909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64170</xdr:rowOff>
    </xdr:from>
    <xdr:to>
      <xdr:col>8</xdr:col>
      <xdr:colOff>1073727</xdr:colOff>
      <xdr:row>44</xdr:row>
      <xdr:rowOff>94181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45744</xdr:colOff>
      <xdr:row>11</xdr:row>
      <xdr:rowOff>103716</xdr:rowOff>
    </xdr:from>
    <xdr:to>
      <xdr:col>9</xdr:col>
      <xdr:colOff>4267200</xdr:colOff>
      <xdr:row>16</xdr:row>
      <xdr:rowOff>87058</xdr:rowOff>
    </xdr:to>
    <mc:AlternateContent xmlns:mc="http://schemas.openxmlformats.org/markup-compatibility/2006">
      <mc:Choice xmlns:a14="http://schemas.microsoft.com/office/drawing/2010/main"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254573" y="3521830"/>
              <a:ext cx="4221456" cy="908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45744</xdr:colOff>
      <xdr:row>17</xdr:row>
      <xdr:rowOff>149915</xdr:rowOff>
    </xdr:from>
    <xdr:to>
      <xdr:col>9</xdr:col>
      <xdr:colOff>4288971</xdr:colOff>
      <xdr:row>28</xdr:row>
      <xdr:rowOff>20877</xdr:rowOff>
    </xdr:to>
    <mc:AlternateContent xmlns:mc="http://schemas.openxmlformats.org/markup-compatibility/2006">
      <mc:Choice xmlns:a14="http://schemas.microsoft.com/office/drawing/2010/main" Requires="a14">
        <xdr:graphicFrame macro="">
          <xdr:nvGraphicFramePr>
            <xdr:cNvPr id="8" name="Sales_rep"/>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16254573" y="4678372"/>
              <a:ext cx="4243227" cy="1906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45744</xdr:colOff>
      <xdr:row>6</xdr:row>
      <xdr:rowOff>186732</xdr:rowOff>
    </xdr:from>
    <xdr:to>
      <xdr:col>9</xdr:col>
      <xdr:colOff>4267200</xdr:colOff>
      <xdr:row>10</xdr:row>
      <xdr:rowOff>29012</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254573" y="2538046"/>
              <a:ext cx="4221456" cy="724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45744</xdr:colOff>
      <xdr:row>29</xdr:row>
      <xdr:rowOff>123265</xdr:rowOff>
    </xdr:from>
    <xdr:to>
      <xdr:col>9</xdr:col>
      <xdr:colOff>4299857</xdr:colOff>
      <xdr:row>44</xdr:row>
      <xdr:rowOff>168089</xdr:rowOff>
    </xdr:to>
    <xdr:sp macro="" textlink="">
      <xdr:nvSpPr>
        <xdr:cNvPr id="15" name="TextBox 14"/>
        <xdr:cNvSpPr txBox="1"/>
      </xdr:nvSpPr>
      <xdr:spPr>
        <a:xfrm>
          <a:off x="16254573" y="6872408"/>
          <a:ext cx="4254113" cy="282068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65000"/>
                </a:schemeClr>
              </a:solidFill>
            </a:rPr>
            <a:t>INSIGHTS</a:t>
          </a:r>
        </a:p>
        <a:p>
          <a:endParaRPr lang="en-US" sz="1200" b="1">
            <a:solidFill>
              <a:schemeClr val="bg1">
                <a:lumMod val="65000"/>
              </a:schemeClr>
            </a:solidFill>
          </a:endParaRPr>
        </a:p>
        <a:p>
          <a:r>
            <a:rPr lang="en-US" sz="1200" b="1">
              <a:solidFill>
                <a:schemeClr val="bg1">
                  <a:lumMod val="65000"/>
                </a:schemeClr>
              </a:solidFill>
            </a:rPr>
            <a:t>• Peak revenue in January  </a:t>
          </a:r>
        </a:p>
        <a:p>
          <a:r>
            <a:rPr lang="en-US" sz="1200" b="1">
              <a:solidFill>
                <a:schemeClr val="bg1">
                  <a:lumMod val="65000"/>
                </a:schemeClr>
              </a:solidFill>
            </a:rPr>
            <a:t>• Lowest performance in April  </a:t>
          </a:r>
        </a:p>
        <a:p>
          <a:r>
            <a:rPr lang="en-US" sz="1200" b="1">
              <a:solidFill>
                <a:schemeClr val="bg1">
                  <a:lumMod val="65000"/>
                </a:schemeClr>
              </a:solidFill>
            </a:rPr>
            <a:t>• Recovery trend towards October  </a:t>
          </a:r>
        </a:p>
        <a:p>
          <a:r>
            <a:rPr lang="en-US" sz="1200" b="1">
              <a:solidFill>
                <a:schemeClr val="bg1">
                  <a:lumMod val="65000"/>
                </a:schemeClr>
              </a:solidFill>
            </a:rPr>
            <a:t>• North region leads revenue  </a:t>
          </a:r>
        </a:p>
        <a:p>
          <a:r>
            <a:rPr lang="en-US" sz="1200" b="1">
              <a:solidFill>
                <a:schemeClr val="bg1">
                  <a:lumMod val="65000"/>
                </a:schemeClr>
              </a:solidFill>
            </a:rPr>
            <a:t>• Mobile is top product  </a:t>
          </a:r>
        </a:p>
        <a:p>
          <a:r>
            <a:rPr lang="en-US" sz="1200" b="1">
              <a:solidFill>
                <a:schemeClr val="bg1">
                  <a:lumMod val="65000"/>
                </a:schemeClr>
              </a:solidFill>
            </a:rPr>
            <a:t>• Anjali is top sales rep</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0.2738</cdr:x>
      <cdr:y>0.04675</cdr:y>
    </cdr:from>
    <cdr:to>
      <cdr:x>0.45862</cdr:x>
      <cdr:y>0.15238</cdr:y>
    </cdr:to>
    <cdr:sp macro="" textlink="Sheet5!$Q$5">
      <cdr:nvSpPr>
        <cdr:cNvPr id="2" name="TextBox 1"/>
        <cdr:cNvSpPr txBox="1"/>
      </cdr:nvSpPr>
      <cdr:spPr>
        <a:xfrm xmlns:a="http://schemas.openxmlformats.org/drawingml/2006/main">
          <a:off x="4595527" y="123676"/>
          <a:ext cx="3101983" cy="2794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E80A2B3-4D04-4C33-B275-7CE70E603BE4}" type="TxLink">
            <a:rPr lang="en-US" sz="1400" b="0" i="0" u="none" strike="noStrike">
              <a:solidFill>
                <a:schemeClr val="bg1">
                  <a:lumMod val="50000"/>
                </a:schemeClr>
              </a:solidFill>
              <a:latin typeface="Calibri"/>
              <a:ea typeface="Calibri"/>
              <a:cs typeface="Calibri"/>
            </a:rPr>
            <a:t>Monthly Revenue Trend – East</a:t>
          </a:fld>
          <a:endParaRPr lang="en-US" sz="1400">
            <a:solidFill>
              <a:schemeClr val="bg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96.762631481484" createdVersion="6" refreshedVersion="6" minRefreshableVersion="3" recordCount="20">
  <cacheSource type="worksheet">
    <worksheetSource name="SalesTable"/>
  </cacheSource>
  <cacheFields count="9">
    <cacheField name="Order_ID" numFmtId="0">
      <sharedItems containsSemiMixedTypes="0" containsString="0" containsNumber="1" containsInteger="1" minValue="1001" maxValue="1020"/>
    </cacheField>
    <cacheField name="Date" numFmtId="14">
      <sharedItems containsSemiMixedTypes="0" containsNonDate="0" containsDate="1" containsString="0" minDate="2024-01-01T00:00:00" maxDate="2024-10-02T00:00:00" count="10">
        <d v="2024-01-01T00:00:00"/>
        <d v="2024-02-01T00:00:00"/>
        <d v="2024-03-01T00:00:00"/>
        <d v="2024-04-01T00:00:00"/>
        <d v="2024-05-01T00:00:00"/>
        <d v="2024-06-01T00:00:00"/>
        <d v="2024-07-01T00:00:00"/>
        <d v="2024-08-01T00:00:00"/>
        <d v="2024-09-01T00:00:00"/>
        <d v="2024-10-01T00:00:00"/>
      </sharedItems>
      <fieldGroup par="8" base="1">
        <rangePr groupBy="days" startDate="2024-01-01T00:00:00" endDate="2024-10-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2024"/>
        </groupItems>
      </fieldGroup>
    </cacheField>
    <cacheField name="Region" numFmtId="0">
      <sharedItems count="4">
        <s v="South"/>
        <s v="North"/>
        <s v="East"/>
        <s v="West"/>
      </sharedItems>
    </cacheField>
    <cacheField name="Product" numFmtId="0">
      <sharedItems count="5">
        <s v="Laptop"/>
        <s v="Mobile"/>
        <s v="Tablet"/>
        <s v="Headphones"/>
        <s v="Smartwatch"/>
      </sharedItems>
    </cacheField>
    <cacheField name="Sales_rep" numFmtId="0">
      <sharedItems count="8">
        <s v="Rahul"/>
        <s v="Anjali"/>
        <s v="Arjun"/>
        <s v="Sneha"/>
        <s v="Ravi"/>
        <s v="Priya"/>
        <s v="Kiran"/>
        <s v="Amit"/>
      </sharedItems>
    </cacheField>
    <cacheField name="Units_sold" numFmtId="0">
      <sharedItems containsSemiMixedTypes="0" containsString="0" containsNumber="1" containsInteger="1" minValue="1" maxValue="8"/>
    </cacheField>
    <cacheField name="Unit_Price" numFmtId="0">
      <sharedItems containsSemiMixedTypes="0" containsString="0" containsNumber="1" containsInteger="1" minValue="5000" maxValue="60000"/>
    </cacheField>
    <cacheField name="Revenue" numFmtId="0">
      <sharedItems containsSemiMixedTypes="0" containsString="0" containsNumber="1" containsInteger="1" minValue="20000" maxValue="140000"/>
    </cacheField>
    <cacheField name="Months" numFmtId="0" databaseField="0">
      <fieldGroup base="1">
        <rangePr groupBy="months" startDate="2024-01-01T00:00:00" endDate="2024-10-02T00:00:00"/>
        <groupItems count="14">
          <s v="&lt;1/1/2024"/>
          <s v="Jan"/>
          <s v="Feb"/>
          <s v="Mar"/>
          <s v="Apr"/>
          <s v="May"/>
          <s v="Jun"/>
          <s v="Jul"/>
          <s v="Aug"/>
          <s v="Sep"/>
          <s v="Oct"/>
          <s v="Nov"/>
          <s v="Dec"/>
          <s v="&gt;10/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n v="1001"/>
    <x v="0"/>
    <x v="0"/>
    <x v="0"/>
    <x v="0"/>
    <n v="2"/>
    <n v="60000"/>
    <n v="120000"/>
  </r>
  <r>
    <n v="1002"/>
    <x v="0"/>
    <x v="1"/>
    <x v="1"/>
    <x v="1"/>
    <n v="5"/>
    <n v="20000"/>
    <n v="100000"/>
  </r>
  <r>
    <n v="1003"/>
    <x v="1"/>
    <x v="2"/>
    <x v="2"/>
    <x v="2"/>
    <n v="3"/>
    <n v="30000"/>
    <n v="90000"/>
  </r>
  <r>
    <n v="1004"/>
    <x v="1"/>
    <x v="3"/>
    <x v="0"/>
    <x v="3"/>
    <n v="1"/>
    <n v="60000"/>
    <n v="60000"/>
  </r>
  <r>
    <n v="1005"/>
    <x v="2"/>
    <x v="0"/>
    <x v="1"/>
    <x v="4"/>
    <n v="4"/>
    <n v="20000"/>
    <n v="80000"/>
  </r>
  <r>
    <n v="1006"/>
    <x v="2"/>
    <x v="1"/>
    <x v="2"/>
    <x v="5"/>
    <n v="2"/>
    <n v="30000"/>
    <n v="60000"/>
  </r>
  <r>
    <n v="1007"/>
    <x v="3"/>
    <x v="2"/>
    <x v="3"/>
    <x v="6"/>
    <n v="6"/>
    <n v="5000"/>
    <n v="30000"/>
  </r>
  <r>
    <n v="1008"/>
    <x v="3"/>
    <x v="3"/>
    <x v="4"/>
    <x v="7"/>
    <n v="3"/>
    <n v="10000"/>
    <n v="30000"/>
  </r>
  <r>
    <n v="1009"/>
    <x v="4"/>
    <x v="0"/>
    <x v="0"/>
    <x v="0"/>
    <n v="1"/>
    <n v="60000"/>
    <n v="60000"/>
  </r>
  <r>
    <n v="1010"/>
    <x v="4"/>
    <x v="1"/>
    <x v="1"/>
    <x v="1"/>
    <n v="7"/>
    <n v="20000"/>
    <n v="140000"/>
  </r>
  <r>
    <n v="1011"/>
    <x v="5"/>
    <x v="2"/>
    <x v="2"/>
    <x v="2"/>
    <n v="2"/>
    <n v="30000"/>
    <n v="60000"/>
  </r>
  <r>
    <n v="1012"/>
    <x v="5"/>
    <x v="3"/>
    <x v="3"/>
    <x v="3"/>
    <n v="5"/>
    <n v="5000"/>
    <n v="25000"/>
  </r>
  <r>
    <n v="1013"/>
    <x v="6"/>
    <x v="0"/>
    <x v="4"/>
    <x v="4"/>
    <n v="4"/>
    <n v="10000"/>
    <n v="40000"/>
  </r>
  <r>
    <n v="1014"/>
    <x v="6"/>
    <x v="1"/>
    <x v="0"/>
    <x v="5"/>
    <n v="2"/>
    <n v="60000"/>
    <n v="120000"/>
  </r>
  <r>
    <n v="1015"/>
    <x v="7"/>
    <x v="2"/>
    <x v="1"/>
    <x v="6"/>
    <n v="3"/>
    <n v="20000"/>
    <n v="60000"/>
  </r>
  <r>
    <n v="1016"/>
    <x v="7"/>
    <x v="3"/>
    <x v="2"/>
    <x v="7"/>
    <n v="1"/>
    <n v="30000"/>
    <n v="30000"/>
  </r>
  <r>
    <n v="1017"/>
    <x v="8"/>
    <x v="0"/>
    <x v="3"/>
    <x v="0"/>
    <n v="8"/>
    <n v="5000"/>
    <n v="40000"/>
  </r>
  <r>
    <n v="1018"/>
    <x v="8"/>
    <x v="1"/>
    <x v="4"/>
    <x v="1"/>
    <n v="2"/>
    <n v="10000"/>
    <n v="20000"/>
  </r>
  <r>
    <n v="1019"/>
    <x v="9"/>
    <x v="2"/>
    <x v="0"/>
    <x v="2"/>
    <n v="1"/>
    <n v="60000"/>
    <n v="60000"/>
  </r>
  <r>
    <n v="1020"/>
    <x v="9"/>
    <x v="3"/>
    <x v="1"/>
    <x v="3"/>
    <n v="6"/>
    <n v="20000"/>
    <n v="1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3:B8"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v="1"/>
    </i>
    <i>
      <x v="2"/>
    </i>
    <i>
      <x/>
    </i>
    <i>
      <x v="3"/>
    </i>
    <i t="grand">
      <x/>
    </i>
  </rowItems>
  <colItems count="1">
    <i/>
  </colItems>
  <dataFields count="1">
    <dataField name="Sum of Revenue" fld="7" baseField="0" baseItem="0"/>
  </dataFields>
  <chartFormats count="2">
    <chartFormat chart="27" format="6">
      <pivotArea type="data" outline="0" fieldPosition="0">
        <references count="2">
          <reference field="4294967294" count="1" selected="0">
            <x v="0"/>
          </reference>
          <reference field="2" count="1" selected="0">
            <x v="1"/>
          </reference>
        </references>
      </pivotArea>
    </chartFormat>
    <chartFormat chart="2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6">
    <i>
      <x v="2"/>
    </i>
    <i>
      <x v="1"/>
    </i>
    <i>
      <x v="4"/>
    </i>
    <i>
      <x/>
    </i>
    <i>
      <x v="3"/>
    </i>
    <i t="grand">
      <x/>
    </i>
  </rowItems>
  <colItems count="1">
    <i/>
  </colItems>
  <dataFields count="1">
    <dataField name="Sum of Revenue" fld="7" baseField="0" baseItem="0"/>
  </dataFields>
  <chartFormats count="2">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2"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items count="6">
        <item x="3"/>
        <item x="0"/>
        <item x="1"/>
        <item x="4"/>
        <item x="2"/>
        <item t="default"/>
      </items>
    </pivotField>
    <pivotField axis="axisRow" showAll="0">
      <items count="9">
        <item x="7"/>
        <item x="1"/>
        <item x="2"/>
        <item x="6"/>
        <item x="5"/>
        <item x="0"/>
        <item x="4"/>
        <item x="3"/>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Sum of Revenue" fld="7" baseField="0" baseItem="0"/>
  </dataFields>
  <chartFormats count="3">
    <chartFormat chart="12"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T60:T65" firstHeaderRow="1" firstDataRow="1" firstDataCol="1"/>
  <pivotFields count="9">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defaultSubtota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9">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1"/>
  </rowFields>
  <rowItems count="11">
    <i>
      <x v="1"/>
    </i>
    <i>
      <x v="2"/>
    </i>
    <i>
      <x v="3"/>
    </i>
    <i>
      <x v="4"/>
    </i>
    <i>
      <x v="5"/>
    </i>
    <i>
      <x v="6"/>
    </i>
    <i>
      <x v="7"/>
    </i>
    <i>
      <x v="8"/>
    </i>
    <i>
      <x v="9"/>
    </i>
    <i>
      <x v="10"/>
    </i>
    <i t="grand">
      <x/>
    </i>
  </rowItems>
  <colItems count="1">
    <i/>
  </colItems>
  <dataFields count="1">
    <dataField name="Sum of Revenue" fld="7" baseField="0" baseItem="0"/>
  </dataFields>
  <chartFormats count="1">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9" name="PivotTable1"/>
    <pivotTable tabId="4" name="PivotTable2"/>
    <pivotTable tabId="3" name="PivotTable1"/>
    <pivotTable tabId="12"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3"/>
  </pivotTables>
  <data>
    <tabular pivotCacheId="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rep" sourceName="Sales_rep">
  <pivotTables>
    <pivotTable tabId="5" name="PivotTable3"/>
  </pivotTables>
  <data>
    <tabular pivotCacheId="1">
      <items count="8">
        <i x="7" s="1"/>
        <i x="1" s="1"/>
        <i x="2" s="1"/>
        <i x="6" s="1"/>
        <i x="5"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howCaption="0" style="SlicerStyleOther2" rowHeight="182880"/>
  <slicer name="Product" cache="Slicer_Product" caption="Product" columnCount="2" showCaption="0" style="SlicerStyleOther2" rowHeight="182880"/>
  <slicer name="Sales_rep" cache="Slicer_Sales_rep" caption="Sales_rep" showCaption="0" style="SlicerStyleOther2" rowHeight="182880"/>
</slicers>
</file>

<file path=xl/tables/table1.xml><?xml version="1.0" encoding="utf-8"?>
<table xmlns="http://schemas.openxmlformats.org/spreadsheetml/2006/main" id="1" name="Table1" displayName="Table1" ref="A1:H3" totalsRowShown="0">
  <autoFilter ref="A1:H3"/>
  <tableColumns count="8">
    <tableColumn id="1" name="Order_ID"/>
    <tableColumn id="2" name="Date" dataDxfId="14"/>
    <tableColumn id="3" name="Region"/>
    <tableColumn id="4" name="Product"/>
    <tableColumn id="5" name="Sales_rep"/>
    <tableColumn id="6" name="Units_sold"/>
    <tableColumn id="7" name="Unit_Price"/>
    <tableColumn id="8" name="Revenue"/>
  </tableColumns>
  <tableStyleInfo name="TableStyleMedium2" showFirstColumn="0" showLastColumn="0" showRowStripes="1" showColumnStripes="0"/>
</table>
</file>

<file path=xl/tables/table2.xml><?xml version="1.0" encoding="utf-8"?>
<table xmlns="http://schemas.openxmlformats.org/spreadsheetml/2006/main" id="2" name="SalesTable" displayName="SalesTable" ref="A1:H21" totalsRowShown="0">
  <autoFilter ref="A1:H21"/>
  <tableColumns count="8">
    <tableColumn id="1" name="Order_ID"/>
    <tableColumn id="2" name="Date" dataDxfId="13"/>
    <tableColumn id="3" name="Region"/>
    <tableColumn id="4" name="Product"/>
    <tableColumn id="5" name="Sales_rep"/>
    <tableColumn id="6" name="Units_sold"/>
    <tableColumn id="7" name="Unit_Price"/>
    <tableColumn id="8" name="Revenue">
      <calculatedColumnFormula>F2*G2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B5" totalsRowShown="0">
  <autoFilter ref="A1:B5"/>
  <tableColumns count="2">
    <tableColumn id="1" name="Region"/>
    <tableColumn id="2" name="Revenue" dataDxfId="12">
      <calculatedColumnFormula>SUMIF(SalesTable[Region],Table3[[#This Row],[Region]],SalesTable[Revenue])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5" sqref="B5"/>
    </sheetView>
  </sheetViews>
  <sheetFormatPr defaultRowHeight="14.4" x14ac:dyDescent="0.3"/>
  <cols>
    <col min="1" max="1" width="12.5546875" customWidth="1"/>
    <col min="2" max="2" width="14.88671875" customWidth="1"/>
    <col min="3" max="3" width="16.33203125" customWidth="1"/>
    <col min="4" max="4" width="7" customWidth="1"/>
    <col min="5" max="5" width="11.109375" customWidth="1"/>
    <col min="6" max="6" width="7" customWidth="1"/>
    <col min="7" max="7" width="10.77734375" bestFit="1" customWidth="1"/>
  </cols>
  <sheetData>
    <row r="3" spans="1:2" x14ac:dyDescent="0.3">
      <c r="A3" s="4" t="s">
        <v>28</v>
      </c>
      <c r="B3" t="s">
        <v>30</v>
      </c>
    </row>
    <row r="4" spans="1:2" x14ac:dyDescent="0.3">
      <c r="A4" s="5" t="s">
        <v>3</v>
      </c>
      <c r="B4" s="6">
        <v>440000</v>
      </c>
    </row>
    <row r="5" spans="1:2" x14ac:dyDescent="0.3">
      <c r="A5" s="5" t="s">
        <v>0</v>
      </c>
      <c r="B5" s="6">
        <v>340000</v>
      </c>
    </row>
    <row r="6" spans="1:2" x14ac:dyDescent="0.3">
      <c r="A6" s="5" t="s">
        <v>6</v>
      </c>
      <c r="B6" s="6">
        <v>300000</v>
      </c>
    </row>
    <row r="7" spans="1:2" x14ac:dyDescent="0.3">
      <c r="A7" s="5" t="s">
        <v>9</v>
      </c>
      <c r="B7" s="6">
        <v>265000</v>
      </c>
    </row>
    <row r="8" spans="1:2" x14ac:dyDescent="0.3">
      <c r="A8" s="5" t="s">
        <v>29</v>
      </c>
      <c r="B8" s="6">
        <v>1345000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B6"/>
    </sheetView>
  </sheetViews>
  <sheetFormatPr defaultRowHeight="14.4" x14ac:dyDescent="0.3"/>
  <cols>
    <col min="1" max="1" width="12.5546875" bestFit="1" customWidth="1"/>
    <col min="2" max="2" width="14.88671875" bestFit="1" customWidth="1"/>
  </cols>
  <sheetData>
    <row r="3" spans="1:2" x14ac:dyDescent="0.3">
      <c r="A3" s="4" t="s">
        <v>28</v>
      </c>
      <c r="B3" t="s">
        <v>30</v>
      </c>
    </row>
    <row r="4" spans="1:2" x14ac:dyDescent="0.3">
      <c r="A4" s="5" t="s">
        <v>4</v>
      </c>
      <c r="B4" s="6">
        <v>500000</v>
      </c>
    </row>
    <row r="5" spans="1:2" x14ac:dyDescent="0.3">
      <c r="A5" s="5" t="s">
        <v>1</v>
      </c>
      <c r="B5" s="6">
        <v>420000</v>
      </c>
    </row>
    <row r="6" spans="1:2" x14ac:dyDescent="0.3">
      <c r="A6" s="5" t="s">
        <v>7</v>
      </c>
      <c r="B6" s="6">
        <v>240000</v>
      </c>
    </row>
    <row r="7" spans="1:2" x14ac:dyDescent="0.3">
      <c r="A7" s="5" t="s">
        <v>13</v>
      </c>
      <c r="B7" s="6">
        <v>95000</v>
      </c>
    </row>
    <row r="8" spans="1:2" x14ac:dyDescent="0.3">
      <c r="A8" s="5" t="s">
        <v>15</v>
      </c>
      <c r="B8" s="6">
        <v>90000</v>
      </c>
    </row>
    <row r="9" spans="1:2" x14ac:dyDescent="0.3">
      <c r="A9" s="5" t="s">
        <v>29</v>
      </c>
      <c r="B9" s="6">
        <v>1345000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9" sqref="B9"/>
    </sheetView>
  </sheetViews>
  <sheetFormatPr defaultRowHeight="14.4" x14ac:dyDescent="0.3"/>
  <cols>
    <col min="1" max="1" width="12.5546875" bestFit="1" customWidth="1"/>
    <col min="2" max="2" width="14.88671875" bestFit="1" customWidth="1"/>
  </cols>
  <sheetData>
    <row r="3" spans="1:2" x14ac:dyDescent="0.3">
      <c r="A3" s="4" t="s">
        <v>28</v>
      </c>
      <c r="B3" t="s">
        <v>30</v>
      </c>
    </row>
    <row r="4" spans="1:2" x14ac:dyDescent="0.3">
      <c r="A4" s="5" t="s">
        <v>16</v>
      </c>
      <c r="B4" s="6">
        <v>60000</v>
      </c>
    </row>
    <row r="5" spans="1:2" x14ac:dyDescent="0.3">
      <c r="A5" s="5" t="s">
        <v>5</v>
      </c>
      <c r="B5" s="6">
        <v>260000</v>
      </c>
    </row>
    <row r="6" spans="1:2" x14ac:dyDescent="0.3">
      <c r="A6" s="5" t="s">
        <v>8</v>
      </c>
      <c r="B6" s="6">
        <v>210000</v>
      </c>
    </row>
    <row r="7" spans="1:2" x14ac:dyDescent="0.3">
      <c r="A7" s="5" t="s">
        <v>14</v>
      </c>
      <c r="B7" s="6">
        <v>90000</v>
      </c>
    </row>
    <row r="8" spans="1:2" x14ac:dyDescent="0.3">
      <c r="A8" s="5" t="s">
        <v>12</v>
      </c>
      <c r="B8" s="6">
        <v>180000</v>
      </c>
    </row>
    <row r="9" spans="1:2" x14ac:dyDescent="0.3">
      <c r="A9" s="5" t="s">
        <v>2</v>
      </c>
      <c r="B9" s="6">
        <v>220000</v>
      </c>
    </row>
    <row r="10" spans="1:2" x14ac:dyDescent="0.3">
      <c r="A10" s="5" t="s">
        <v>11</v>
      </c>
      <c r="B10" s="6">
        <v>120000</v>
      </c>
    </row>
    <row r="11" spans="1:2" x14ac:dyDescent="0.3">
      <c r="A11" s="5" t="s">
        <v>10</v>
      </c>
      <c r="B11" s="6">
        <v>205000</v>
      </c>
    </row>
    <row r="12" spans="1:2" x14ac:dyDescent="0.3">
      <c r="A12" s="5" t="s">
        <v>29</v>
      </c>
      <c r="B12" s="6">
        <v>1345000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showGridLines="0" zoomScale="46" workbookViewId="0">
      <selection activeCell="A38" sqref="A38"/>
    </sheetView>
  </sheetViews>
  <sheetFormatPr defaultRowHeight="14.4" x14ac:dyDescent="0.3"/>
  <cols>
    <col min="1" max="1" width="58.21875" customWidth="1"/>
    <col min="2" max="2" width="52.6640625" customWidth="1"/>
    <col min="3" max="3" width="46.77734375" customWidth="1"/>
    <col min="4" max="4" width="48.6640625" customWidth="1"/>
  </cols>
  <sheetData>
    <row r="1" spans="1:8" s="8" customFormat="1" ht="40.049999999999997" customHeight="1" x14ac:dyDescent="0.3">
      <c r="A1" s="20" t="s">
        <v>45</v>
      </c>
      <c r="B1" s="20"/>
      <c r="C1" s="20"/>
      <c r="D1" s="20"/>
      <c r="E1" s="20"/>
      <c r="F1" s="20"/>
      <c r="G1" s="20"/>
      <c r="H1" s="20"/>
    </row>
    <row r="2" spans="1:8" ht="43.2" customHeight="1" x14ac:dyDescent="0.3">
      <c r="A2" s="7" t="s">
        <v>34</v>
      </c>
      <c r="B2" s="7" t="s">
        <v>31</v>
      </c>
      <c r="C2" s="7" t="s">
        <v>32</v>
      </c>
      <c r="D2" s="7" t="s">
        <v>33</v>
      </c>
    </row>
    <row r="3" spans="1:8" s="11" customFormat="1" ht="60.6" customHeight="1" x14ac:dyDescent="0.3">
      <c r="A3" s="9">
        <f>SUM(SalesTable[Revenue])</f>
        <v>1345000</v>
      </c>
      <c r="B3" s="10">
        <f>COUNTA(SalesTable[Order_ID])</f>
        <v>20</v>
      </c>
      <c r="C3" s="10">
        <f>SUM(SalesTable[Units_sold])</f>
        <v>68</v>
      </c>
      <c r="D3" s="10" t="s">
        <v>4</v>
      </c>
    </row>
  </sheetData>
  <mergeCells count="1">
    <mergeCell ref="A1:H1"/>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showGridLines="0" showRowColHeaders="0" tabSelected="1" zoomScale="70" zoomScaleNormal="85" workbookViewId="0">
      <selection activeCell="J65" sqref="J65"/>
    </sheetView>
  </sheetViews>
  <sheetFormatPr defaultRowHeight="14.4" x14ac:dyDescent="0.3"/>
  <cols>
    <col min="1" max="1" width="48" bestFit="1" customWidth="1"/>
    <col min="2" max="2" width="10.21875" customWidth="1"/>
    <col min="3" max="3" width="36.5546875" customWidth="1"/>
    <col min="4" max="4" width="52.6640625" customWidth="1"/>
    <col min="7" max="7" width="43.5546875" customWidth="1"/>
    <col min="8" max="8" width="8.88671875" customWidth="1"/>
    <col min="9" max="9" width="18.88671875" customWidth="1"/>
    <col min="10" max="10" width="80.6640625" customWidth="1"/>
    <col min="20" max="20" width="20" customWidth="1"/>
  </cols>
  <sheetData>
    <row r="1" spans="1:17" s="12" customFormat="1" ht="40.049999999999997" customHeight="1" x14ac:dyDescent="0.65">
      <c r="A1" s="21" t="s">
        <v>45</v>
      </c>
      <c r="B1" s="21"/>
      <c r="C1" s="21"/>
      <c r="D1" s="21"/>
      <c r="E1" s="21"/>
      <c r="F1" s="21"/>
      <c r="G1" s="21"/>
      <c r="H1" s="21"/>
      <c r="I1" s="21"/>
      <c r="J1" s="21"/>
    </row>
    <row r="2" spans="1:17" s="14" customFormat="1" ht="21" x14ac:dyDescent="0.3">
      <c r="A2" s="13" t="s">
        <v>49</v>
      </c>
      <c r="B2" s="13"/>
      <c r="C2" s="13"/>
      <c r="D2" s="13" t="s">
        <v>46</v>
      </c>
      <c r="E2" s="13"/>
      <c r="F2" s="13"/>
      <c r="G2" s="13" t="s">
        <v>47</v>
      </c>
      <c r="H2" s="13"/>
      <c r="I2" s="13"/>
      <c r="J2" s="13" t="s">
        <v>48</v>
      </c>
    </row>
    <row r="3" spans="1:17" s="18" customFormat="1" ht="69.599999999999994" customHeight="1" x14ac:dyDescent="0.9">
      <c r="A3" s="23" t="str">
        <f>TEXT(B51,"₹#,##0")</f>
        <v>₹1,345,000</v>
      </c>
      <c r="B3" s="16" t="str">
        <f>IF(A4&lt;A7,"↓","↑")</f>
        <v>↑</v>
      </c>
      <c r="C3" s="16"/>
      <c r="D3" s="16">
        <v>20</v>
      </c>
      <c r="E3" s="17"/>
      <c r="F3" s="17"/>
      <c r="G3" s="17">
        <v>68</v>
      </c>
      <c r="H3" s="17"/>
      <c r="I3" s="17"/>
      <c r="J3" s="19" t="s">
        <v>4</v>
      </c>
    </row>
    <row r="5" spans="1:17" x14ac:dyDescent="0.3">
      <c r="Q5" t="str">
        <f>"Monthly Revenue Trend – "&amp;T61</f>
        <v>Monthly Revenue Trend – East</v>
      </c>
    </row>
    <row r="6" spans="1:17" ht="25.8" x14ac:dyDescent="0.5">
      <c r="J6" s="24" t="s">
        <v>50</v>
      </c>
    </row>
    <row r="7" spans="1:17" ht="25.8" x14ac:dyDescent="0.5">
      <c r="H7" s="22"/>
      <c r="I7" s="22"/>
    </row>
    <row r="10" spans="1:17" x14ac:dyDescent="0.3">
      <c r="M10" t="str">
        <f>"(" &amp; TEXT(O21,"0%") &amp; " vs last month)"</f>
        <v>(200% vs last month)</v>
      </c>
    </row>
    <row r="21" spans="15:15" x14ac:dyDescent="0.3">
      <c r="O21" s="25">
        <f>(GETPIVOTDATA("Revenue",Pivot_monthly!$A$3,"Months",10)-GETPIVOTDATA("Revenue",Pivot_monthly!$A$3,"Months",9))/GETPIVOTDATA("Revenue",Pivot_monthly!$A$3,"Months",9)</f>
        <v>2</v>
      </c>
    </row>
    <row r="49" spans="2:20" x14ac:dyDescent="0.3">
      <c r="I49" t="str">
        <f>IF(1=2,"↓","↑")</f>
        <v>↑</v>
      </c>
    </row>
    <row r="51" spans="2:20" ht="48.6" x14ac:dyDescent="0.3">
      <c r="B51" s="15">
        <f>SUM(SalesTable[Revenue])</f>
        <v>1345000</v>
      </c>
    </row>
    <row r="60" spans="2:20" x14ac:dyDescent="0.3">
      <c r="T60" s="4" t="s">
        <v>28</v>
      </c>
    </row>
    <row r="61" spans="2:20" x14ac:dyDescent="0.3">
      <c r="T61" s="5" t="s">
        <v>6</v>
      </c>
    </row>
    <row r="62" spans="2:20" x14ac:dyDescent="0.3">
      <c r="T62" s="5" t="s">
        <v>3</v>
      </c>
    </row>
    <row r="63" spans="2:20" x14ac:dyDescent="0.3">
      <c r="T63" s="5" t="s">
        <v>0</v>
      </c>
    </row>
    <row r="64" spans="2:20" x14ac:dyDescent="0.3">
      <c r="T64" s="5" t="s">
        <v>9</v>
      </c>
    </row>
    <row r="65" spans="20:20" x14ac:dyDescent="0.3">
      <c r="T65" s="5" t="s">
        <v>29</v>
      </c>
    </row>
  </sheetData>
  <mergeCells count="2">
    <mergeCell ref="A1:J1"/>
    <mergeCell ref="H7:I7"/>
  </mergeCells>
  <conditionalFormatting sqref="A3">
    <cfRule type="iconSet" priority="3">
      <iconSet iconSet="3Arrows">
        <cfvo type="percent" val="0"/>
        <cfvo type="percent" val="33"/>
        <cfvo type="percent" val="67"/>
      </iconSet>
    </cfRule>
  </conditionalFormatting>
  <pageMargins left="0.7" right="0.7" top="0.75" bottom="0.75" header="0.3" footer="0.3"/>
  <pageSetup orientation="portrait" verticalDpi="0" r:id="rId2"/>
  <drawing r:id="rId3"/>
  <extLst>
    <ext xmlns:x14="http://schemas.microsoft.com/office/spreadsheetml/2009/9/main" uri="{78C0D931-6437-407d-A8EE-F0AAD7539E65}">
      <x14:conditionalFormattings>
        <x14:conditionalFormatting xmlns:xm="http://schemas.microsoft.com/office/excel/2006/main">
          <x14:cfRule type="containsText" priority="2" operator="containsText" id="{FAB4004A-95E2-44BE-9647-EC37E8AE58EA}">
            <xm:f>NOT(ISERROR(SEARCH($I$49,A3)))</xm:f>
            <xm:f>$I$49</xm:f>
            <x14:dxf>
              <font>
                <b/>
                <i val="0"/>
                <color rgb="FF00B050"/>
              </font>
            </x14:dxf>
          </x14:cfRule>
          <xm:sqref>A3</xm:sqref>
        </x14:conditionalFormatting>
        <x14:conditionalFormatting xmlns:xm="http://schemas.microsoft.com/office/excel/2006/main">
          <x14:cfRule type="containsText" priority="1" operator="containsText" id="{0BC4FF1A-36F6-4239-AD63-9DC0B6DEC824}">
            <xm:f>NOT(ISERROR(SEARCH($I$49,B3)))</xm:f>
            <xm:f>$I$49</xm:f>
            <x14:dxf>
              <font>
                <b/>
                <i val="0"/>
                <color rgb="FF00B050"/>
              </font>
            </x14:dxf>
          </x14:cfRule>
          <xm:sqref>B3</xm:sqref>
        </x14:conditionalFormatting>
      </x14:conditionalFormattings>
    </ex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C6" sqref="C6"/>
    </sheetView>
  </sheetViews>
  <sheetFormatPr defaultRowHeight="14.4" x14ac:dyDescent="0.3"/>
  <cols>
    <col min="1" max="1" width="10.44140625" customWidth="1"/>
    <col min="4" max="4" width="9.5546875" customWidth="1"/>
    <col min="5" max="5" width="10.88671875" customWidth="1"/>
    <col min="6" max="6" width="11.6640625" customWidth="1"/>
    <col min="7" max="7" width="11.5546875" customWidth="1"/>
    <col min="8" max="8" width="10.21875" customWidth="1"/>
  </cols>
  <sheetData>
    <row r="1" spans="1:8" x14ac:dyDescent="0.3">
      <c r="A1" t="s">
        <v>17</v>
      </c>
      <c r="B1" t="s">
        <v>18</v>
      </c>
      <c r="C1" t="s">
        <v>19</v>
      </c>
      <c r="D1" t="s">
        <v>20</v>
      </c>
      <c r="E1" t="s">
        <v>23</v>
      </c>
      <c r="F1" t="s">
        <v>24</v>
      </c>
      <c r="G1" t="s">
        <v>21</v>
      </c>
      <c r="H1" t="s">
        <v>22</v>
      </c>
    </row>
    <row r="2" spans="1:8" x14ac:dyDescent="0.3">
      <c r="A2">
        <v>1006</v>
      </c>
      <c r="B2" s="1">
        <v>45352</v>
      </c>
      <c r="C2" t="s">
        <v>3</v>
      </c>
      <c r="D2" t="s">
        <v>7</v>
      </c>
      <c r="E2" t="s">
        <v>12</v>
      </c>
      <c r="F2">
        <v>2</v>
      </c>
      <c r="G2">
        <v>30000</v>
      </c>
      <c r="H2">
        <v>60000</v>
      </c>
    </row>
    <row r="3" spans="1:8" x14ac:dyDescent="0.3">
      <c r="A3">
        <v>1005</v>
      </c>
      <c r="B3" s="1">
        <v>45352</v>
      </c>
      <c r="C3" t="s">
        <v>0</v>
      </c>
      <c r="D3" t="s">
        <v>4</v>
      </c>
      <c r="E3" t="s">
        <v>11</v>
      </c>
      <c r="F3">
        <v>4</v>
      </c>
      <c r="G3">
        <v>20000</v>
      </c>
      <c r="H3">
        <v>80000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7" sqref="A7"/>
    </sheetView>
  </sheetViews>
  <sheetFormatPr defaultRowHeight="14.4" x14ac:dyDescent="0.3"/>
  <cols>
    <col min="1" max="1" width="12.5546875" bestFit="1" customWidth="1"/>
    <col min="2" max="2" width="14.88671875" bestFit="1" customWidth="1"/>
  </cols>
  <sheetData>
    <row r="3" spans="1:2" x14ac:dyDescent="0.3">
      <c r="A3" s="4" t="s">
        <v>28</v>
      </c>
      <c r="B3" t="s">
        <v>30</v>
      </c>
    </row>
    <row r="4" spans="1:2" x14ac:dyDescent="0.3">
      <c r="A4" s="5" t="s">
        <v>35</v>
      </c>
      <c r="B4" s="6">
        <v>220000</v>
      </c>
    </row>
    <row r="5" spans="1:2" x14ac:dyDescent="0.3">
      <c r="A5" s="5" t="s">
        <v>36</v>
      </c>
      <c r="B5" s="6">
        <v>150000</v>
      </c>
    </row>
    <row r="6" spans="1:2" x14ac:dyDescent="0.3">
      <c r="A6" s="5" t="s">
        <v>37</v>
      </c>
      <c r="B6" s="6">
        <v>140000</v>
      </c>
    </row>
    <row r="7" spans="1:2" x14ac:dyDescent="0.3">
      <c r="A7" s="5" t="s">
        <v>38</v>
      </c>
      <c r="B7" s="6">
        <v>60000</v>
      </c>
    </row>
    <row r="8" spans="1:2" x14ac:dyDescent="0.3">
      <c r="A8" s="5" t="s">
        <v>39</v>
      </c>
      <c r="B8" s="6">
        <v>200000</v>
      </c>
    </row>
    <row r="9" spans="1:2" x14ac:dyDescent="0.3">
      <c r="A9" s="5" t="s">
        <v>40</v>
      </c>
      <c r="B9" s="6">
        <v>85000</v>
      </c>
    </row>
    <row r="10" spans="1:2" x14ac:dyDescent="0.3">
      <c r="A10" s="5" t="s">
        <v>41</v>
      </c>
      <c r="B10" s="6">
        <v>160000</v>
      </c>
    </row>
    <row r="11" spans="1:2" x14ac:dyDescent="0.3">
      <c r="A11" s="5" t="s">
        <v>42</v>
      </c>
      <c r="B11" s="6">
        <v>90000</v>
      </c>
    </row>
    <row r="12" spans="1:2" x14ac:dyDescent="0.3">
      <c r="A12" s="5" t="s">
        <v>43</v>
      </c>
      <c r="B12" s="6">
        <v>60000</v>
      </c>
    </row>
    <row r="13" spans="1:2" x14ac:dyDescent="0.3">
      <c r="A13" s="5" t="s">
        <v>44</v>
      </c>
      <c r="B13" s="6">
        <v>180000</v>
      </c>
    </row>
    <row r="14" spans="1:2" x14ac:dyDescent="0.3">
      <c r="A14" s="5" t="s">
        <v>29</v>
      </c>
      <c r="B14" s="6">
        <v>1345000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H21"/>
    </sheetView>
  </sheetViews>
  <sheetFormatPr defaultRowHeight="14.4" x14ac:dyDescent="0.3"/>
  <cols>
    <col min="1" max="1" width="10.44140625" customWidth="1"/>
    <col min="2" max="2" width="9.5546875" bestFit="1" customWidth="1"/>
    <col min="3" max="3" width="8.6640625" customWidth="1"/>
    <col min="4" max="4" width="11.109375" bestFit="1" customWidth="1"/>
    <col min="5" max="5" width="10.88671875" customWidth="1"/>
    <col min="6" max="6" width="11.6640625" customWidth="1"/>
    <col min="7" max="7" width="11.5546875" customWidth="1"/>
    <col min="8" max="8" width="10.21875" customWidth="1"/>
  </cols>
  <sheetData>
    <row r="1" spans="1:8" x14ac:dyDescent="0.3">
      <c r="A1" t="s">
        <v>17</v>
      </c>
      <c r="B1" t="s">
        <v>18</v>
      </c>
      <c r="C1" t="s">
        <v>19</v>
      </c>
      <c r="D1" t="s">
        <v>20</v>
      </c>
      <c r="E1" t="s">
        <v>23</v>
      </c>
      <c r="F1" t="s">
        <v>24</v>
      </c>
      <c r="G1" t="s">
        <v>21</v>
      </c>
      <c r="H1" t="s">
        <v>22</v>
      </c>
    </row>
    <row r="2" spans="1:8" x14ac:dyDescent="0.3">
      <c r="A2">
        <v>1001</v>
      </c>
      <c r="B2" s="1">
        <v>45292</v>
      </c>
      <c r="C2" t="s">
        <v>0</v>
      </c>
      <c r="D2" t="s">
        <v>1</v>
      </c>
      <c r="E2" t="s">
        <v>2</v>
      </c>
      <c r="F2">
        <v>2</v>
      </c>
      <c r="G2">
        <v>60000</v>
      </c>
      <c r="H2">
        <f>F2*G2</f>
        <v>120000</v>
      </c>
    </row>
    <row r="3" spans="1:8" x14ac:dyDescent="0.3">
      <c r="A3">
        <v>1002</v>
      </c>
      <c r="B3" s="1">
        <v>45292</v>
      </c>
      <c r="C3" t="s">
        <v>3</v>
      </c>
      <c r="D3" t="s">
        <v>4</v>
      </c>
      <c r="E3" t="s">
        <v>5</v>
      </c>
      <c r="F3">
        <v>5</v>
      </c>
      <c r="G3">
        <v>20000</v>
      </c>
      <c r="H3">
        <f t="shared" ref="H3:H21" si="0">F3*G3</f>
        <v>100000</v>
      </c>
    </row>
    <row r="4" spans="1:8" x14ac:dyDescent="0.3">
      <c r="A4">
        <v>1003</v>
      </c>
      <c r="B4" s="1">
        <v>45323</v>
      </c>
      <c r="C4" t="s">
        <v>6</v>
      </c>
      <c r="D4" t="s">
        <v>7</v>
      </c>
      <c r="E4" t="s">
        <v>8</v>
      </c>
      <c r="F4">
        <v>3</v>
      </c>
      <c r="G4">
        <v>30000</v>
      </c>
      <c r="H4">
        <f t="shared" si="0"/>
        <v>90000</v>
      </c>
    </row>
    <row r="5" spans="1:8" x14ac:dyDescent="0.3">
      <c r="A5">
        <v>1004</v>
      </c>
      <c r="B5" s="1">
        <v>45323</v>
      </c>
      <c r="C5" t="s">
        <v>9</v>
      </c>
      <c r="D5" t="s">
        <v>1</v>
      </c>
      <c r="E5" t="s">
        <v>10</v>
      </c>
      <c r="F5">
        <v>1</v>
      </c>
      <c r="G5">
        <v>60000</v>
      </c>
      <c r="H5">
        <f t="shared" si="0"/>
        <v>60000</v>
      </c>
    </row>
    <row r="6" spans="1:8" x14ac:dyDescent="0.3">
      <c r="A6">
        <v>1005</v>
      </c>
      <c r="B6" s="1">
        <v>45352</v>
      </c>
      <c r="C6" t="s">
        <v>0</v>
      </c>
      <c r="D6" t="s">
        <v>4</v>
      </c>
      <c r="E6" t="s">
        <v>11</v>
      </c>
      <c r="F6">
        <v>4</v>
      </c>
      <c r="G6">
        <v>20000</v>
      </c>
      <c r="H6">
        <f t="shared" si="0"/>
        <v>80000</v>
      </c>
    </row>
    <row r="7" spans="1:8" x14ac:dyDescent="0.3">
      <c r="A7">
        <v>1006</v>
      </c>
      <c r="B7" s="1">
        <v>45352</v>
      </c>
      <c r="C7" t="s">
        <v>3</v>
      </c>
      <c r="D7" t="s">
        <v>7</v>
      </c>
      <c r="E7" t="s">
        <v>12</v>
      </c>
      <c r="F7">
        <v>2</v>
      </c>
      <c r="G7">
        <v>30000</v>
      </c>
      <c r="H7">
        <f t="shared" si="0"/>
        <v>60000</v>
      </c>
    </row>
    <row r="8" spans="1:8" x14ac:dyDescent="0.3">
      <c r="A8">
        <v>1007</v>
      </c>
      <c r="B8" s="1">
        <v>45383</v>
      </c>
      <c r="C8" t="s">
        <v>6</v>
      </c>
      <c r="D8" t="s">
        <v>13</v>
      </c>
      <c r="E8" t="s">
        <v>14</v>
      </c>
      <c r="F8">
        <v>6</v>
      </c>
      <c r="G8">
        <v>5000</v>
      </c>
      <c r="H8">
        <f t="shared" si="0"/>
        <v>30000</v>
      </c>
    </row>
    <row r="9" spans="1:8" x14ac:dyDescent="0.3">
      <c r="A9">
        <v>1008</v>
      </c>
      <c r="B9" s="1">
        <v>45383</v>
      </c>
      <c r="C9" t="s">
        <v>9</v>
      </c>
      <c r="D9" t="s">
        <v>15</v>
      </c>
      <c r="E9" t="s">
        <v>16</v>
      </c>
      <c r="F9">
        <v>3</v>
      </c>
      <c r="G9">
        <v>10000</v>
      </c>
      <c r="H9">
        <f t="shared" si="0"/>
        <v>30000</v>
      </c>
    </row>
    <row r="10" spans="1:8" x14ac:dyDescent="0.3">
      <c r="A10">
        <v>1009</v>
      </c>
      <c r="B10" s="1">
        <v>45413</v>
      </c>
      <c r="C10" t="s">
        <v>0</v>
      </c>
      <c r="D10" t="s">
        <v>1</v>
      </c>
      <c r="E10" t="s">
        <v>2</v>
      </c>
      <c r="F10">
        <v>1</v>
      </c>
      <c r="G10">
        <v>60000</v>
      </c>
      <c r="H10">
        <f t="shared" si="0"/>
        <v>60000</v>
      </c>
    </row>
    <row r="11" spans="1:8" x14ac:dyDescent="0.3">
      <c r="A11">
        <v>1010</v>
      </c>
      <c r="B11" s="1">
        <v>45413</v>
      </c>
      <c r="C11" t="s">
        <v>3</v>
      </c>
      <c r="D11" t="s">
        <v>4</v>
      </c>
      <c r="E11" t="s">
        <v>5</v>
      </c>
      <c r="F11">
        <v>7</v>
      </c>
      <c r="G11">
        <v>20000</v>
      </c>
      <c r="H11">
        <f t="shared" si="0"/>
        <v>140000</v>
      </c>
    </row>
    <row r="12" spans="1:8" x14ac:dyDescent="0.3">
      <c r="A12">
        <v>1011</v>
      </c>
      <c r="B12" s="1">
        <v>45444</v>
      </c>
      <c r="C12" t="s">
        <v>6</v>
      </c>
      <c r="D12" t="s">
        <v>7</v>
      </c>
      <c r="E12" t="s">
        <v>8</v>
      </c>
      <c r="F12">
        <v>2</v>
      </c>
      <c r="G12">
        <v>30000</v>
      </c>
      <c r="H12">
        <f t="shared" si="0"/>
        <v>60000</v>
      </c>
    </row>
    <row r="13" spans="1:8" x14ac:dyDescent="0.3">
      <c r="A13">
        <v>1012</v>
      </c>
      <c r="B13" s="1">
        <v>45444</v>
      </c>
      <c r="C13" t="s">
        <v>9</v>
      </c>
      <c r="D13" t="s">
        <v>13</v>
      </c>
      <c r="E13" t="s">
        <v>10</v>
      </c>
      <c r="F13">
        <v>5</v>
      </c>
      <c r="G13">
        <v>5000</v>
      </c>
      <c r="H13">
        <f t="shared" si="0"/>
        <v>25000</v>
      </c>
    </row>
    <row r="14" spans="1:8" x14ac:dyDescent="0.3">
      <c r="A14">
        <v>1013</v>
      </c>
      <c r="B14" s="1">
        <v>45474</v>
      </c>
      <c r="C14" t="s">
        <v>0</v>
      </c>
      <c r="D14" t="s">
        <v>15</v>
      </c>
      <c r="E14" t="s">
        <v>11</v>
      </c>
      <c r="F14">
        <v>4</v>
      </c>
      <c r="G14">
        <v>10000</v>
      </c>
      <c r="H14">
        <f t="shared" si="0"/>
        <v>40000</v>
      </c>
    </row>
    <row r="15" spans="1:8" x14ac:dyDescent="0.3">
      <c r="A15">
        <v>1014</v>
      </c>
      <c r="B15" s="1">
        <v>45474</v>
      </c>
      <c r="C15" t="s">
        <v>3</v>
      </c>
      <c r="D15" t="s">
        <v>1</v>
      </c>
      <c r="E15" t="s">
        <v>12</v>
      </c>
      <c r="F15">
        <v>2</v>
      </c>
      <c r="G15">
        <v>60000</v>
      </c>
      <c r="H15">
        <f t="shared" si="0"/>
        <v>120000</v>
      </c>
    </row>
    <row r="16" spans="1:8" x14ac:dyDescent="0.3">
      <c r="A16">
        <v>1015</v>
      </c>
      <c r="B16" s="1">
        <v>45505</v>
      </c>
      <c r="C16" t="s">
        <v>6</v>
      </c>
      <c r="D16" t="s">
        <v>4</v>
      </c>
      <c r="E16" t="s">
        <v>14</v>
      </c>
      <c r="F16">
        <v>3</v>
      </c>
      <c r="G16">
        <v>20000</v>
      </c>
      <c r="H16">
        <f t="shared" si="0"/>
        <v>60000</v>
      </c>
    </row>
    <row r="17" spans="1:8" x14ac:dyDescent="0.3">
      <c r="A17">
        <v>1016</v>
      </c>
      <c r="B17" s="1">
        <v>45505</v>
      </c>
      <c r="C17" t="s">
        <v>9</v>
      </c>
      <c r="D17" t="s">
        <v>7</v>
      </c>
      <c r="E17" t="s">
        <v>16</v>
      </c>
      <c r="F17">
        <v>1</v>
      </c>
      <c r="G17">
        <v>30000</v>
      </c>
      <c r="H17">
        <f t="shared" si="0"/>
        <v>30000</v>
      </c>
    </row>
    <row r="18" spans="1:8" x14ac:dyDescent="0.3">
      <c r="A18">
        <v>1017</v>
      </c>
      <c r="B18" s="1">
        <v>45536</v>
      </c>
      <c r="C18" t="s">
        <v>0</v>
      </c>
      <c r="D18" t="s">
        <v>13</v>
      </c>
      <c r="E18" t="s">
        <v>2</v>
      </c>
      <c r="F18">
        <v>8</v>
      </c>
      <c r="G18">
        <v>5000</v>
      </c>
      <c r="H18">
        <f t="shared" si="0"/>
        <v>40000</v>
      </c>
    </row>
    <row r="19" spans="1:8" x14ac:dyDescent="0.3">
      <c r="A19">
        <v>1018</v>
      </c>
      <c r="B19" s="1">
        <v>45536</v>
      </c>
      <c r="C19" t="s">
        <v>3</v>
      </c>
      <c r="D19" t="s">
        <v>15</v>
      </c>
      <c r="E19" t="s">
        <v>5</v>
      </c>
      <c r="F19">
        <v>2</v>
      </c>
      <c r="G19">
        <v>10000</v>
      </c>
      <c r="H19">
        <f t="shared" si="0"/>
        <v>20000</v>
      </c>
    </row>
    <row r="20" spans="1:8" x14ac:dyDescent="0.3">
      <c r="A20">
        <v>1019</v>
      </c>
      <c r="B20" s="1">
        <v>45566</v>
      </c>
      <c r="C20" t="s">
        <v>6</v>
      </c>
      <c r="D20" t="s">
        <v>1</v>
      </c>
      <c r="E20" t="s">
        <v>8</v>
      </c>
      <c r="F20">
        <v>1</v>
      </c>
      <c r="G20">
        <v>60000</v>
      </c>
      <c r="H20">
        <f t="shared" si="0"/>
        <v>60000</v>
      </c>
    </row>
    <row r="21" spans="1:8" x14ac:dyDescent="0.3">
      <c r="A21">
        <v>1020</v>
      </c>
      <c r="B21" s="1">
        <v>45566</v>
      </c>
      <c r="C21" t="s">
        <v>9</v>
      </c>
      <c r="D21" t="s">
        <v>4</v>
      </c>
      <c r="E21" t="s">
        <v>10</v>
      </c>
      <c r="F21">
        <v>6</v>
      </c>
      <c r="G21">
        <v>20000</v>
      </c>
      <c r="H21">
        <f t="shared" si="0"/>
        <v>120000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
  <sheetViews>
    <sheetView workbookViewId="0">
      <selection activeCell="S7" sqref="S7:T10"/>
    </sheetView>
  </sheetViews>
  <sheetFormatPr defaultRowHeight="14.4" x14ac:dyDescent="0.3"/>
  <cols>
    <col min="1" max="1" width="8.6640625" customWidth="1"/>
    <col min="2" max="2" width="10.21875" customWidth="1"/>
    <col min="10" max="10" width="5.33203125" bestFit="1" customWidth="1"/>
  </cols>
  <sheetData>
    <row r="1" spans="1:20" ht="28.8" x14ac:dyDescent="0.3">
      <c r="A1" t="s">
        <v>19</v>
      </c>
      <c r="B1" t="s">
        <v>22</v>
      </c>
      <c r="I1" s="2" t="s">
        <v>20</v>
      </c>
      <c r="J1" s="2" t="s">
        <v>25</v>
      </c>
      <c r="N1" t="s">
        <v>23</v>
      </c>
      <c r="O1" t="s">
        <v>26</v>
      </c>
    </row>
    <row r="2" spans="1:20" x14ac:dyDescent="0.3">
      <c r="A2" t="s">
        <v>3</v>
      </c>
      <c r="B2">
        <f>SUMIF(SalesTable[Region],Table3[[#This Row],[Region]],SalesTable[Revenue])</f>
        <v>440000</v>
      </c>
      <c r="I2" s="3" t="s">
        <v>1</v>
      </c>
      <c r="J2" s="3">
        <f>SUMIF(SalesTable[Product],I2,SalesTable[Units_sold])</f>
        <v>7</v>
      </c>
      <c r="N2" t="s">
        <v>2</v>
      </c>
      <c r="O2">
        <f>COUNTIFS(SalesTable[Sales_rep],N2)</f>
        <v>3</v>
      </c>
      <c r="T2">
        <f>SUM(SalesTable[Revenue])</f>
        <v>1345000</v>
      </c>
    </row>
    <row r="3" spans="1:20" x14ac:dyDescent="0.3">
      <c r="A3" t="s">
        <v>0</v>
      </c>
      <c r="B3">
        <f>SUMIF(SalesTable[Region],Table3[[#This Row],[Region]],SalesTable[Revenue])</f>
        <v>340000</v>
      </c>
      <c r="I3" s="3" t="s">
        <v>4</v>
      </c>
      <c r="J3" s="3">
        <f>SUMIF(SalesTable[Product],I3,SalesTable[Units_sold])</f>
        <v>25</v>
      </c>
      <c r="N3" t="s">
        <v>5</v>
      </c>
      <c r="O3">
        <f>COUNTIFS(SalesTable[Sales_rep],N3)</f>
        <v>3</v>
      </c>
    </row>
    <row r="4" spans="1:20" x14ac:dyDescent="0.3">
      <c r="A4" t="s">
        <v>6</v>
      </c>
      <c r="B4">
        <f>SUMIF(SalesTable[Region],Table3[[#This Row],[Region]],SalesTable[Revenue])</f>
        <v>300000</v>
      </c>
      <c r="I4" s="3" t="s">
        <v>7</v>
      </c>
      <c r="J4" s="3">
        <f>SUMIF(SalesTable[Product],I4,SalesTable[Units_sold])</f>
        <v>8</v>
      </c>
      <c r="N4" t="s">
        <v>8</v>
      </c>
      <c r="O4">
        <f>COUNTIFS(SalesTable[Sales_rep],N4)</f>
        <v>3</v>
      </c>
    </row>
    <row r="5" spans="1:20" ht="28.8" x14ac:dyDescent="0.3">
      <c r="A5" t="s">
        <v>9</v>
      </c>
      <c r="B5">
        <f>SUMIF(SalesTable[Region],Table3[[#This Row],[Region]],SalesTable[Revenue])</f>
        <v>265000</v>
      </c>
      <c r="I5" s="3" t="s">
        <v>13</v>
      </c>
      <c r="J5" s="3">
        <f>SUMIF(SalesTable[Product],I5,SalesTable[Units_sold])</f>
        <v>19</v>
      </c>
    </row>
    <row r="6" spans="1:20" ht="28.8" x14ac:dyDescent="0.3">
      <c r="I6" s="3" t="s">
        <v>15</v>
      </c>
      <c r="J6" s="3">
        <f>SUMIF(SalesTable[Product],I6,SalesTable[Units_sold])</f>
        <v>9</v>
      </c>
      <c r="S6" s="2" t="s">
        <v>27</v>
      </c>
      <c r="T6" s="2" t="s">
        <v>26</v>
      </c>
    </row>
    <row r="7" spans="1:20" x14ac:dyDescent="0.3">
      <c r="S7" s="3" t="s">
        <v>2</v>
      </c>
      <c r="T7" s="3">
        <f>COUNTIFS(SalesTable[Sales_rep],S7)</f>
        <v>3</v>
      </c>
    </row>
    <row r="8" spans="1:20" x14ac:dyDescent="0.3">
      <c r="S8" s="3" t="s">
        <v>5</v>
      </c>
      <c r="T8" s="3">
        <f>COUNTIFS(SalesTable[Sales_rep],S8)</f>
        <v>3</v>
      </c>
    </row>
    <row r="9" spans="1:20" x14ac:dyDescent="0.3">
      <c r="S9" s="3" t="s">
        <v>8</v>
      </c>
      <c r="T9" s="3">
        <f>COUNTIFS(SalesTable[Sales_rep],S9)</f>
        <v>3</v>
      </c>
    </row>
    <row r="10" spans="1:20" x14ac:dyDescent="0.3">
      <c r="S10" s="3" t="s">
        <v>10</v>
      </c>
      <c r="T10" s="3">
        <f>COUNTIFS(SalesTable[Sales_rep],S10)</f>
        <v>3</v>
      </c>
    </row>
    <row r="11" spans="1:20" x14ac:dyDescent="0.3">
      <c r="S11" s="3" t="s">
        <v>11</v>
      </c>
      <c r="T11" s="3">
        <f>COUNTIFS(SalesTable[Sales_rep],S11)</f>
        <v>2</v>
      </c>
    </row>
    <row r="12" spans="1:20" x14ac:dyDescent="0.3">
      <c r="S12" s="3" t="s">
        <v>12</v>
      </c>
      <c r="T12" s="3">
        <f>COUNTIFS(SalesTable[Sales_rep],S12)</f>
        <v>2</v>
      </c>
    </row>
    <row r="13" spans="1:20" x14ac:dyDescent="0.3">
      <c r="S13" s="3" t="s">
        <v>14</v>
      </c>
      <c r="T13" s="3">
        <f>COUNTIFS(SalesTable[Sales_rep],S13)</f>
        <v>2</v>
      </c>
    </row>
    <row r="14" spans="1:20" x14ac:dyDescent="0.3">
      <c r="S14" s="3" t="s">
        <v>16</v>
      </c>
      <c r="T14" s="3">
        <f>COUNTIFS(SalesTable[Sales_rep],S14)</f>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Pivot_region</vt:lpstr>
      <vt:lpstr>Pivot_product</vt:lpstr>
      <vt:lpstr>Pivot_SalesRep</vt:lpstr>
      <vt:lpstr>Sheet1</vt:lpstr>
      <vt:lpstr>Sheet5</vt:lpstr>
      <vt:lpstr>Sheet3</vt:lpstr>
      <vt:lpstr>Pivot_monthly</vt:lpstr>
      <vt:lpstr>SalesData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2026-03-11T13:21:28Z</dcterms:created>
  <dcterms:modified xsi:type="dcterms:W3CDTF">2026-03-19T14:42:14Z</dcterms:modified>
</cp:coreProperties>
</file>